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60" yWindow="525" windowWidth="19815" windowHeight="7365" firstSheet="1" activeTab="6"/>
  </bookViews>
  <sheets>
    <sheet name="Patient_Data" sheetId="1" r:id="rId1"/>
    <sheet name="Analysis" sheetId="2" r:id="rId2"/>
    <sheet name="Department Analysis" sheetId="6" r:id="rId3"/>
    <sheet name="Doctor Analysis" sheetId="15" r:id="rId4"/>
    <sheet name="Gender Analysis" sheetId="7" r:id="rId5"/>
    <sheet name="Treatment Cost Analysis" sheetId="13" r:id="rId6"/>
    <sheet name="Health Dashboard" sheetId="14" r:id="rId7"/>
  </sheets>
  <definedNames>
    <definedName name="_xlnm._FilterDatabase" localSheetId="0" hidden="1">Patient_Data!$A$1:$K$201</definedName>
  </definedNames>
  <calcPr calcId="124519"/>
  <pivotCaches>
    <pivotCache cacheId="0" r:id="rId8"/>
    <pivotCache cacheId="1" r:id="rId9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/>
  <c r="E3"/>
  <c r="E4"/>
  <c r="E5"/>
  <c r="E6"/>
  <c r="E7"/>
  <c r="B2"/>
  <c r="L4" i="1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3"/>
  <c r="L2"/>
  <c r="B3" i="2"/>
  <c r="B4"/>
  <c r="B5"/>
  <c r="B6"/>
  <c r="B7"/>
</calcChain>
</file>

<file path=xl/sharedStrings.xml><?xml version="1.0" encoding="utf-8"?>
<sst xmlns="http://schemas.openxmlformats.org/spreadsheetml/2006/main" count="1268" uniqueCount="449">
  <si>
    <t>Patient ID</t>
  </si>
  <si>
    <t>Patient Name</t>
  </si>
  <si>
    <t>Age</t>
  </si>
  <si>
    <t>Gender</t>
  </si>
  <si>
    <t>Department</t>
  </si>
  <si>
    <t>Doctor</t>
  </si>
  <si>
    <t>Admission Date</t>
  </si>
  <si>
    <t>Discharge Date</t>
  </si>
  <si>
    <t>Length of Stay</t>
  </si>
  <si>
    <t>Treatment Cost</t>
  </si>
  <si>
    <t>Payment Mode</t>
  </si>
  <si>
    <t>Month</t>
  </si>
  <si>
    <t>P1001</t>
  </si>
  <si>
    <t>Patient 1</t>
  </si>
  <si>
    <t>Male</t>
  </si>
  <si>
    <t>Cardiology</t>
  </si>
  <si>
    <t>Dr. Sharma</t>
  </si>
  <si>
    <t>Insurance</t>
  </si>
  <si>
    <t>P1002</t>
  </si>
  <si>
    <t>Patient 2</t>
  </si>
  <si>
    <t>Female</t>
  </si>
  <si>
    <t>P1003</t>
  </si>
  <si>
    <t>Patient 3</t>
  </si>
  <si>
    <t>Neurology</t>
  </si>
  <si>
    <t>Dr. Mehta</t>
  </si>
  <si>
    <t>Cash</t>
  </si>
  <si>
    <t>P1004</t>
  </si>
  <si>
    <t>Patient 4</t>
  </si>
  <si>
    <t>General Medicine</t>
  </si>
  <si>
    <t>Dr. Khan</t>
  </si>
  <si>
    <t>Card</t>
  </si>
  <si>
    <t>P1005</t>
  </si>
  <si>
    <t>Patient 5</t>
  </si>
  <si>
    <t>Pediatrics</t>
  </si>
  <si>
    <t>Dr. Verma</t>
  </si>
  <si>
    <t>UPI</t>
  </si>
  <si>
    <t>P1006</t>
  </si>
  <si>
    <t>Patient 6</t>
  </si>
  <si>
    <t>P1007</t>
  </si>
  <si>
    <t>Patient 7</t>
  </si>
  <si>
    <t>Gynecology</t>
  </si>
  <si>
    <t>Dr. Gupta</t>
  </si>
  <si>
    <t>P1008</t>
  </si>
  <si>
    <t>Patient 8</t>
  </si>
  <si>
    <t>P1009</t>
  </si>
  <si>
    <t>Patient 9</t>
  </si>
  <si>
    <t>P1010</t>
  </si>
  <si>
    <t>Patient 10</t>
  </si>
  <si>
    <t>Orthopedics</t>
  </si>
  <si>
    <t>Dr. Singh</t>
  </si>
  <si>
    <t>P1011</t>
  </si>
  <si>
    <t>Patient 11</t>
  </si>
  <si>
    <t>P1012</t>
  </si>
  <si>
    <t>Patient 12</t>
  </si>
  <si>
    <t>P1013</t>
  </si>
  <si>
    <t>Patient 13</t>
  </si>
  <si>
    <t>P1014</t>
  </si>
  <si>
    <t>Patient 14</t>
  </si>
  <si>
    <t>P1015</t>
  </si>
  <si>
    <t>Patient 15</t>
  </si>
  <si>
    <t>P1016</t>
  </si>
  <si>
    <t>Patient 16</t>
  </si>
  <si>
    <t>P1017</t>
  </si>
  <si>
    <t>Patient 17</t>
  </si>
  <si>
    <t>P1018</t>
  </si>
  <si>
    <t>Patient 18</t>
  </si>
  <si>
    <t>P1019</t>
  </si>
  <si>
    <t>Patient 19</t>
  </si>
  <si>
    <t>P1020</t>
  </si>
  <si>
    <t>Patient 20</t>
  </si>
  <si>
    <t>P1021</t>
  </si>
  <si>
    <t>Patient 21</t>
  </si>
  <si>
    <t>P1022</t>
  </si>
  <si>
    <t>Patient 22</t>
  </si>
  <si>
    <t>P1023</t>
  </si>
  <si>
    <t>Patient 23</t>
  </si>
  <si>
    <t>P1024</t>
  </si>
  <si>
    <t>Patient 24</t>
  </si>
  <si>
    <t>P1025</t>
  </si>
  <si>
    <t>Patient 25</t>
  </si>
  <si>
    <t>P1026</t>
  </si>
  <si>
    <t>Patient 26</t>
  </si>
  <si>
    <t>P1027</t>
  </si>
  <si>
    <t>Patient 27</t>
  </si>
  <si>
    <t>P1028</t>
  </si>
  <si>
    <t>Patient 28</t>
  </si>
  <si>
    <t>P1029</t>
  </si>
  <si>
    <t>Patient 29</t>
  </si>
  <si>
    <t>P1030</t>
  </si>
  <si>
    <t>Patient 30</t>
  </si>
  <si>
    <t>P1031</t>
  </si>
  <si>
    <t>Patient 31</t>
  </si>
  <si>
    <t>P1032</t>
  </si>
  <si>
    <t>Patient 32</t>
  </si>
  <si>
    <t>P1033</t>
  </si>
  <si>
    <t>Patient 33</t>
  </si>
  <si>
    <t>P1034</t>
  </si>
  <si>
    <t>Patient 34</t>
  </si>
  <si>
    <t>P1035</t>
  </si>
  <si>
    <t>Patient 35</t>
  </si>
  <si>
    <t>P1036</t>
  </si>
  <si>
    <t>Patient 36</t>
  </si>
  <si>
    <t>P1037</t>
  </si>
  <si>
    <t>Patient 37</t>
  </si>
  <si>
    <t>P1038</t>
  </si>
  <si>
    <t>Patient 38</t>
  </si>
  <si>
    <t>P1039</t>
  </si>
  <si>
    <t>Patient 39</t>
  </si>
  <si>
    <t>P1040</t>
  </si>
  <si>
    <t>Patient 40</t>
  </si>
  <si>
    <t>P1041</t>
  </si>
  <si>
    <t>Patient 41</t>
  </si>
  <si>
    <t>P1042</t>
  </si>
  <si>
    <t>Patient 42</t>
  </si>
  <si>
    <t>P1043</t>
  </si>
  <si>
    <t>Patient 43</t>
  </si>
  <si>
    <t>P1044</t>
  </si>
  <si>
    <t>Patient 44</t>
  </si>
  <si>
    <t>P1045</t>
  </si>
  <si>
    <t>Patient 45</t>
  </si>
  <si>
    <t>P1046</t>
  </si>
  <si>
    <t>Patient 46</t>
  </si>
  <si>
    <t>P1047</t>
  </si>
  <si>
    <t>Patient 47</t>
  </si>
  <si>
    <t>P1048</t>
  </si>
  <si>
    <t>Patient 48</t>
  </si>
  <si>
    <t>P1049</t>
  </si>
  <si>
    <t>Patient 49</t>
  </si>
  <si>
    <t>P1050</t>
  </si>
  <si>
    <t>Patient 50</t>
  </si>
  <si>
    <t>P1051</t>
  </si>
  <si>
    <t>Patient 51</t>
  </si>
  <si>
    <t>P1052</t>
  </si>
  <si>
    <t>Patient 52</t>
  </si>
  <si>
    <t>P1053</t>
  </si>
  <si>
    <t>Patient 53</t>
  </si>
  <si>
    <t>P1054</t>
  </si>
  <si>
    <t>Patient 54</t>
  </si>
  <si>
    <t>P1055</t>
  </si>
  <si>
    <t>Patient 55</t>
  </si>
  <si>
    <t>P1056</t>
  </si>
  <si>
    <t>Patient 56</t>
  </si>
  <si>
    <t>P1057</t>
  </si>
  <si>
    <t>Patient 57</t>
  </si>
  <si>
    <t>P1058</t>
  </si>
  <si>
    <t>Patient 58</t>
  </si>
  <si>
    <t>P1059</t>
  </si>
  <si>
    <t>Patient 59</t>
  </si>
  <si>
    <t>P1060</t>
  </si>
  <si>
    <t>Patient 60</t>
  </si>
  <si>
    <t>P1061</t>
  </si>
  <si>
    <t>Patient 61</t>
  </si>
  <si>
    <t>P1062</t>
  </si>
  <si>
    <t>Patient 62</t>
  </si>
  <si>
    <t>P1063</t>
  </si>
  <si>
    <t>Patient 63</t>
  </si>
  <si>
    <t>P1064</t>
  </si>
  <si>
    <t>Patient 64</t>
  </si>
  <si>
    <t>P1065</t>
  </si>
  <si>
    <t>Patient 65</t>
  </si>
  <si>
    <t>P1066</t>
  </si>
  <si>
    <t>Patient 66</t>
  </si>
  <si>
    <t>P1067</t>
  </si>
  <si>
    <t>Patient 67</t>
  </si>
  <si>
    <t>P1068</t>
  </si>
  <si>
    <t>Patient 68</t>
  </si>
  <si>
    <t>P1069</t>
  </si>
  <si>
    <t>Patient 69</t>
  </si>
  <si>
    <t>P1070</t>
  </si>
  <si>
    <t>Patient 70</t>
  </si>
  <si>
    <t>P1071</t>
  </si>
  <si>
    <t>Patient 71</t>
  </si>
  <si>
    <t>P1072</t>
  </si>
  <si>
    <t>Patient 72</t>
  </si>
  <si>
    <t>P1073</t>
  </si>
  <si>
    <t>Patient 73</t>
  </si>
  <si>
    <t>P1074</t>
  </si>
  <si>
    <t>Patient 74</t>
  </si>
  <si>
    <t>P1075</t>
  </si>
  <si>
    <t>Patient 75</t>
  </si>
  <si>
    <t>P1076</t>
  </si>
  <si>
    <t>Patient 76</t>
  </si>
  <si>
    <t>P1077</t>
  </si>
  <si>
    <t>Patient 77</t>
  </si>
  <si>
    <t>P1078</t>
  </si>
  <si>
    <t>Patient 78</t>
  </si>
  <si>
    <t>P1079</t>
  </si>
  <si>
    <t>Patient 79</t>
  </si>
  <si>
    <t>P1080</t>
  </si>
  <si>
    <t>Patient 80</t>
  </si>
  <si>
    <t>P1081</t>
  </si>
  <si>
    <t>Patient 81</t>
  </si>
  <si>
    <t>P1082</t>
  </si>
  <si>
    <t>Patient 82</t>
  </si>
  <si>
    <t>P1083</t>
  </si>
  <si>
    <t>Patient 83</t>
  </si>
  <si>
    <t>P1084</t>
  </si>
  <si>
    <t>Patient 84</t>
  </si>
  <si>
    <t>P1085</t>
  </si>
  <si>
    <t>Patient 85</t>
  </si>
  <si>
    <t>P1086</t>
  </si>
  <si>
    <t>Patient 86</t>
  </si>
  <si>
    <t>P1087</t>
  </si>
  <si>
    <t>Patient 87</t>
  </si>
  <si>
    <t>P1088</t>
  </si>
  <si>
    <t>Patient 88</t>
  </si>
  <si>
    <t>P1089</t>
  </si>
  <si>
    <t>Patient 89</t>
  </si>
  <si>
    <t>P1090</t>
  </si>
  <si>
    <t>Patient 90</t>
  </si>
  <si>
    <t>P1091</t>
  </si>
  <si>
    <t>Patient 91</t>
  </si>
  <si>
    <t>P1092</t>
  </si>
  <si>
    <t>Patient 92</t>
  </si>
  <si>
    <t>P1093</t>
  </si>
  <si>
    <t>Patient 93</t>
  </si>
  <si>
    <t>P1094</t>
  </si>
  <si>
    <t>Patient 94</t>
  </si>
  <si>
    <t>P1095</t>
  </si>
  <si>
    <t>Patient 95</t>
  </si>
  <si>
    <t>P1096</t>
  </si>
  <si>
    <t>Patient 96</t>
  </si>
  <si>
    <t>P1097</t>
  </si>
  <si>
    <t>Patient 97</t>
  </si>
  <si>
    <t>P1098</t>
  </si>
  <si>
    <t>Patient 98</t>
  </si>
  <si>
    <t>P1099</t>
  </si>
  <si>
    <t>Patient 99</t>
  </si>
  <si>
    <t>P1100</t>
  </si>
  <si>
    <t>Patient 100</t>
  </si>
  <si>
    <t>P1101</t>
  </si>
  <si>
    <t>Patient 101</t>
  </si>
  <si>
    <t>P1102</t>
  </si>
  <si>
    <t>Patient 102</t>
  </si>
  <si>
    <t>P1103</t>
  </si>
  <si>
    <t>Patient 103</t>
  </si>
  <si>
    <t>P1104</t>
  </si>
  <si>
    <t>Patient 104</t>
  </si>
  <si>
    <t>P1105</t>
  </si>
  <si>
    <t>Patient 105</t>
  </si>
  <si>
    <t>P1106</t>
  </si>
  <si>
    <t>Patient 106</t>
  </si>
  <si>
    <t>P1107</t>
  </si>
  <si>
    <t>Patient 107</t>
  </si>
  <si>
    <t>P1108</t>
  </si>
  <si>
    <t>Patient 108</t>
  </si>
  <si>
    <t>P1109</t>
  </si>
  <si>
    <t>Patient 109</t>
  </si>
  <si>
    <t>P1110</t>
  </si>
  <si>
    <t>Patient 110</t>
  </si>
  <si>
    <t>P1111</t>
  </si>
  <si>
    <t>Patient 111</t>
  </si>
  <si>
    <t>P1112</t>
  </si>
  <si>
    <t>Patient 112</t>
  </si>
  <si>
    <t>P1113</t>
  </si>
  <si>
    <t>Patient 113</t>
  </si>
  <si>
    <t>P1114</t>
  </si>
  <si>
    <t>Patient 114</t>
  </si>
  <si>
    <t>P1115</t>
  </si>
  <si>
    <t>Patient 115</t>
  </si>
  <si>
    <t>P1116</t>
  </si>
  <si>
    <t>Patient 116</t>
  </si>
  <si>
    <t>P1117</t>
  </si>
  <si>
    <t>Patient 117</t>
  </si>
  <si>
    <t>P1118</t>
  </si>
  <si>
    <t>Patient 118</t>
  </si>
  <si>
    <t>P1119</t>
  </si>
  <si>
    <t>Patient 119</t>
  </si>
  <si>
    <t>P1120</t>
  </si>
  <si>
    <t>Patient 120</t>
  </si>
  <si>
    <t>P1121</t>
  </si>
  <si>
    <t>Patient 121</t>
  </si>
  <si>
    <t>P1122</t>
  </si>
  <si>
    <t>Patient 122</t>
  </si>
  <si>
    <t>P1123</t>
  </si>
  <si>
    <t>Patient 123</t>
  </si>
  <si>
    <t>P1124</t>
  </si>
  <si>
    <t>Patient 124</t>
  </si>
  <si>
    <t>P1125</t>
  </si>
  <si>
    <t>Patient 125</t>
  </si>
  <si>
    <t>P1126</t>
  </si>
  <si>
    <t>Patient 126</t>
  </si>
  <si>
    <t>P1127</t>
  </si>
  <si>
    <t>Patient 127</t>
  </si>
  <si>
    <t>P1128</t>
  </si>
  <si>
    <t>Patient 128</t>
  </si>
  <si>
    <t>P1129</t>
  </si>
  <si>
    <t>Patient 129</t>
  </si>
  <si>
    <t>P1130</t>
  </si>
  <si>
    <t>Patient 130</t>
  </si>
  <si>
    <t>P1131</t>
  </si>
  <si>
    <t>Patient 131</t>
  </si>
  <si>
    <t>P1132</t>
  </si>
  <si>
    <t>Patient 132</t>
  </si>
  <si>
    <t>P1133</t>
  </si>
  <si>
    <t>Patient 133</t>
  </si>
  <si>
    <t>P1134</t>
  </si>
  <si>
    <t>Patient 134</t>
  </si>
  <si>
    <t>P1135</t>
  </si>
  <si>
    <t>Patient 135</t>
  </si>
  <si>
    <t>P1136</t>
  </si>
  <si>
    <t>Patient 136</t>
  </si>
  <si>
    <t>P1137</t>
  </si>
  <si>
    <t>Patient 137</t>
  </si>
  <si>
    <t>P1138</t>
  </si>
  <si>
    <t>Patient 138</t>
  </si>
  <si>
    <t>P1139</t>
  </si>
  <si>
    <t>Patient 139</t>
  </si>
  <si>
    <t>P1140</t>
  </si>
  <si>
    <t>Patient 140</t>
  </si>
  <si>
    <t>P1141</t>
  </si>
  <si>
    <t>Patient 141</t>
  </si>
  <si>
    <t>P1142</t>
  </si>
  <si>
    <t>Patient 142</t>
  </si>
  <si>
    <t>P1143</t>
  </si>
  <si>
    <t>Patient 143</t>
  </si>
  <si>
    <t>P1144</t>
  </si>
  <si>
    <t>Patient 144</t>
  </si>
  <si>
    <t>P1145</t>
  </si>
  <si>
    <t>Patient 145</t>
  </si>
  <si>
    <t>P1146</t>
  </si>
  <si>
    <t>Patient 146</t>
  </si>
  <si>
    <t>P1147</t>
  </si>
  <si>
    <t>Patient 147</t>
  </si>
  <si>
    <t>P1148</t>
  </si>
  <si>
    <t>Patient 148</t>
  </si>
  <si>
    <t>P1149</t>
  </si>
  <si>
    <t>Patient 149</t>
  </si>
  <si>
    <t>P1150</t>
  </si>
  <si>
    <t>Patient 150</t>
  </si>
  <si>
    <t>P1151</t>
  </si>
  <si>
    <t>Patient 151</t>
  </si>
  <si>
    <t>P1152</t>
  </si>
  <si>
    <t>Patient 152</t>
  </si>
  <si>
    <t>P1153</t>
  </si>
  <si>
    <t>Patient 153</t>
  </si>
  <si>
    <t>P1154</t>
  </si>
  <si>
    <t>Patient 154</t>
  </si>
  <si>
    <t>P1155</t>
  </si>
  <si>
    <t>Patient 155</t>
  </si>
  <si>
    <t>P1156</t>
  </si>
  <si>
    <t>Patient 156</t>
  </si>
  <si>
    <t>P1157</t>
  </si>
  <si>
    <t>Patient 157</t>
  </si>
  <si>
    <t>P1158</t>
  </si>
  <si>
    <t>Patient 158</t>
  </si>
  <si>
    <t>P1159</t>
  </si>
  <si>
    <t>Patient 159</t>
  </si>
  <si>
    <t>P1160</t>
  </si>
  <si>
    <t>Patient 160</t>
  </si>
  <si>
    <t>P1161</t>
  </si>
  <si>
    <t>Patient 161</t>
  </si>
  <si>
    <t>P1162</t>
  </si>
  <si>
    <t>Patient 162</t>
  </si>
  <si>
    <t>P1163</t>
  </si>
  <si>
    <t>Patient 163</t>
  </si>
  <si>
    <t>P1164</t>
  </si>
  <si>
    <t>Patient 164</t>
  </si>
  <si>
    <t>P1165</t>
  </si>
  <si>
    <t>Patient 165</t>
  </si>
  <si>
    <t>P1166</t>
  </si>
  <si>
    <t>Patient 166</t>
  </si>
  <si>
    <t>P1167</t>
  </si>
  <si>
    <t>Patient 167</t>
  </si>
  <si>
    <t>P1168</t>
  </si>
  <si>
    <t>Patient 168</t>
  </si>
  <si>
    <t>P1169</t>
  </si>
  <si>
    <t>Patient 169</t>
  </si>
  <si>
    <t>P1170</t>
  </si>
  <si>
    <t>Patient 170</t>
  </si>
  <si>
    <t>P1171</t>
  </si>
  <si>
    <t>Patient 171</t>
  </si>
  <si>
    <t>P1172</t>
  </si>
  <si>
    <t>Patient 172</t>
  </si>
  <si>
    <t>P1173</t>
  </si>
  <si>
    <t>Patient 173</t>
  </si>
  <si>
    <t>P1174</t>
  </si>
  <si>
    <t>Patient 174</t>
  </si>
  <si>
    <t>P1175</t>
  </si>
  <si>
    <t>Patient 175</t>
  </si>
  <si>
    <t>P1176</t>
  </si>
  <si>
    <t>Patient 176</t>
  </si>
  <si>
    <t>P1177</t>
  </si>
  <si>
    <t>Patient 177</t>
  </si>
  <si>
    <t>P1178</t>
  </si>
  <si>
    <t>Patient 178</t>
  </si>
  <si>
    <t>P1179</t>
  </si>
  <si>
    <t>Patient 179</t>
  </si>
  <si>
    <t>P1180</t>
  </si>
  <si>
    <t>Patient 180</t>
  </si>
  <si>
    <t>P1181</t>
  </si>
  <si>
    <t>Patient 181</t>
  </si>
  <si>
    <t>P1182</t>
  </si>
  <si>
    <t>Patient 182</t>
  </si>
  <si>
    <t>P1183</t>
  </si>
  <si>
    <t>Patient 183</t>
  </si>
  <si>
    <t>P1184</t>
  </si>
  <si>
    <t>Patient 184</t>
  </si>
  <si>
    <t>P1185</t>
  </si>
  <si>
    <t>Patient 185</t>
  </si>
  <si>
    <t>P1186</t>
  </si>
  <si>
    <t>Patient 186</t>
  </si>
  <si>
    <t>P1187</t>
  </si>
  <si>
    <t>Patient 187</t>
  </si>
  <si>
    <t>P1188</t>
  </si>
  <si>
    <t>Patient 188</t>
  </si>
  <si>
    <t>P1189</t>
  </si>
  <si>
    <t>Patient 189</t>
  </si>
  <si>
    <t>P1190</t>
  </si>
  <si>
    <t>Patient 190</t>
  </si>
  <si>
    <t>P1191</t>
  </si>
  <si>
    <t>Patient 191</t>
  </si>
  <si>
    <t>P1192</t>
  </si>
  <si>
    <t>Patient 192</t>
  </si>
  <si>
    <t>P1193</t>
  </si>
  <si>
    <t>Patient 193</t>
  </si>
  <si>
    <t>P1194</t>
  </si>
  <si>
    <t>Patient 194</t>
  </si>
  <si>
    <t>P1195</t>
  </si>
  <si>
    <t>Patient 195</t>
  </si>
  <si>
    <t>P1196</t>
  </si>
  <si>
    <t>Patient 196</t>
  </si>
  <si>
    <t>P1197</t>
  </si>
  <si>
    <t>Patient 197</t>
  </si>
  <si>
    <t>P1198</t>
  </si>
  <si>
    <t>Patient 198</t>
  </si>
  <si>
    <t>P1199</t>
  </si>
  <si>
    <t>Patient 199</t>
  </si>
  <si>
    <t>P1200</t>
  </si>
  <si>
    <t>Patient 200</t>
  </si>
  <si>
    <t>Total Patients</t>
  </si>
  <si>
    <t>Doctor Name</t>
  </si>
  <si>
    <t>Count of Patient ID</t>
  </si>
  <si>
    <t>Grand Total</t>
  </si>
  <si>
    <t>Sum of Treatment Cost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</si>
  <si>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</si>
  <si>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</si>
  <si>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</si>
  <si>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</si>
  <si>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</si>
  <si>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</si>
  <si>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</si>
  <si>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</si>
  <si>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</si>
  <si>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</si>
  <si>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</si>
  <si>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</si>
  <si>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                                        HEALTHCARE PATIENT ANALYTICS DASHBOARD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</si>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</sst>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[$₹-4009]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3" borderId="2" xfId="0" applyFill="1" applyBorder="1" applyAlignment="1">
      <alignment horizontal="center"/>
    </xf>
    <xf numFmtId="0" fontId="0" fillId="5" borderId="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14" fontId="3" fillId="6" borderId="12" xfId="0" applyNumberFormat="1" applyFont="1" applyFill="1" applyBorder="1" applyAlignment="1">
      <alignment horizontal="center"/>
    </xf>
    <xf numFmtId="164" fontId="3" fillId="6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4" fillId="6" borderId="12" xfId="0" applyFont="1" applyFill="1" applyBorder="1"/>
    <xf numFmtId="0" fontId="0" fillId="0" borderId="12" xfId="0" applyBorder="1"/>
    <xf numFmtId="0" fontId="0" fillId="0" borderId="12" xfId="0" applyNumberFormat="1" applyBorder="1"/>
    <xf numFmtId="164" fontId="0" fillId="0" borderId="12" xfId="0" applyNumberFormat="1" applyBorder="1"/>
    <xf numFmtId="0" fontId="3" fillId="6" borderId="14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34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[Ashima_Pradhan_Healthcare_Excel_Project.xlsx]Department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Patient Count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'Department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'Department Analysis'!$A$2:$A$8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Gynecology</c:v>
                </c:pt>
                <c:pt idx="3">
                  <c:v>Neurology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'Department Analysis'!$B$2:$B$8</c:f>
              <c:numCache>
                <c:formatCode>General</c:formatCode>
                <c:ptCount val="6"/>
                <c:pt idx="0">
                  <c:v>31</c:v>
                </c:pt>
                <c:pt idx="1">
                  <c:v>33</c:v>
                </c:pt>
                <c:pt idx="2">
                  <c:v>28</c:v>
                </c:pt>
                <c:pt idx="3">
                  <c:v>40</c:v>
                </c:pt>
                <c:pt idx="4">
                  <c:v>38</c:v>
                </c:pt>
                <c:pt idx="5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4-401E-8CC5-EFF1D12D33E6}"/>
            </c:ext>
          </c:extLst>
        </c:ser>
        <c:gapWidth val="219"/>
        <c:overlap val="-27"/>
        <c:axId val="148001536"/>
        <c:axId val="148003456"/>
      </c:barChart>
      <c:catAx>
        <c:axId val="148001536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layout>
            <c:manualLayout>
              <c:xMode val="edge"/>
              <c:yMode val="edge"/>
              <c:x val="0.45001968503937023"/>
              <c:y val="0.89256926217556143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03456"/>
        <c:crosses val="autoZero"/>
        <c:auto val="1"/>
        <c:lblAlgn val="ctr"/>
        <c:lblOffset val="100"/>
      </c:catAx>
      <c:valAx>
        <c:axId val="1480034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Patient</a:t>
                </a:r>
              </a:p>
            </c:rich>
          </c:tx>
          <c:layout>
            <c:manualLayout>
              <c:xMode val="edge"/>
              <c:yMode val="edge"/>
              <c:x val="1.1805555555555564E-2"/>
              <c:y val="0.27907771945173521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0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[Ashima_Pradhan_Healthcare_Excel_Project.xlsx]Doctor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Doctor-wise Patient Count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'Doctor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'Doctor Analysis'!$A$2:$A$8</c:f>
              <c:strCache>
                <c:ptCount val="6"/>
                <c:pt idx="0">
                  <c:v>Dr. Gupta</c:v>
                </c:pt>
                <c:pt idx="1">
                  <c:v>Dr. Khan</c:v>
                </c:pt>
                <c:pt idx="2">
                  <c:v>Dr. Mehta</c:v>
                </c:pt>
                <c:pt idx="3">
                  <c:v>Dr. Sharma</c:v>
                </c:pt>
                <c:pt idx="4">
                  <c:v>Dr. Singh</c:v>
                </c:pt>
                <c:pt idx="5">
                  <c:v>Dr. Verma</c:v>
                </c:pt>
              </c:strCache>
            </c:strRef>
          </c:cat>
          <c:val>
            <c:numRef>
              <c:f>'Doctor Analysis'!$B$2:$B$8</c:f>
              <c:numCache>
                <c:formatCode>General</c:formatCode>
                <c:ptCount val="6"/>
                <c:pt idx="0">
                  <c:v>28</c:v>
                </c:pt>
                <c:pt idx="1">
                  <c:v>33</c:v>
                </c:pt>
                <c:pt idx="2">
                  <c:v>40</c:v>
                </c:pt>
                <c:pt idx="3">
                  <c:v>31</c:v>
                </c:pt>
                <c:pt idx="4">
                  <c:v>38</c:v>
                </c:pt>
                <c:pt idx="5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F8F-4E3E-BB44-63E7C376FBCE}"/>
            </c:ext>
          </c:extLst>
        </c:ser>
        <c:gapWidth val="182"/>
        <c:axId val="147942784"/>
        <c:axId val="148456960"/>
      </c:barChart>
      <c:catAx>
        <c:axId val="147942784"/>
        <c:scaling>
          <c:orientation val="minMax"/>
        </c:scaling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Doctor Name</a:t>
                </a:r>
              </a:p>
            </c:rich>
          </c:tx>
          <c:layout>
            <c:manualLayout>
              <c:xMode val="edge"/>
              <c:yMode val="edge"/>
              <c:x val="1.3888888888888897E-2"/>
              <c:y val="0.33443678915135633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6960"/>
        <c:crosses val="autoZero"/>
        <c:auto val="1"/>
        <c:lblAlgn val="ctr"/>
        <c:lblOffset val="100"/>
      </c:catAx>
      <c:valAx>
        <c:axId val="14845696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Patients</a:t>
                </a:r>
              </a:p>
            </c:rich>
          </c:tx>
          <c:layout>
            <c:manualLayout>
              <c:xMode val="edge"/>
              <c:yMode val="edge"/>
              <c:x val="0.39744335083114612"/>
              <c:y val="0.89604148439778364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[Ashima_Pradhan_Healthcare_Excel_Project.xlsx]Gender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Distribation</a:t>
            </a:r>
          </a:p>
        </c:rich>
      </c:tx>
      <c:layout>
        <c:manualLayout>
          <c:xMode val="edge"/>
          <c:yMode val="edge"/>
          <c:x val="0.33224300087489073"/>
          <c:y val="3.125E-2"/>
        </c:manualLayout>
      </c:layout>
      <c:spPr>
        <a:noFill/>
        <a:ln>
          <a:noFill/>
        </a:ln>
        <a:effectLst/>
      </c:spPr>
    </c:title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274573490813655"/>
              <c:y val="2.9909594634004083E-2"/>
            </c:manualLayout>
          </c:layout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7997-4DCC-9CCC-C0A2003A23AF}"/>
            </c:ext>
          </c:extLst>
        </c:dLbl>
      </c:pivotFmt>
      <c:pivotFmt>
        <c:idx val="2"/>
        <c:spPr>
          <a:solidFill>
            <a:srgbClr val="BFBFB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797112860892388"/>
              <c:y val="-2.3575750947798277E-2"/>
            </c:manualLayout>
          </c:layout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3-7997-4DCC-9CCC-C0A2003A23AF}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997-4DCC-9CCC-C0A2003A23AF}"/>
              </c:ext>
            </c:extLst>
          </c:dPt>
          <c:dPt>
            <c:idx val="1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997-4DCC-9CCC-C0A2003A23AF}"/>
              </c:ext>
            </c:extLst>
          </c:dPt>
          <c:dLbls>
            <c:dLbl>
              <c:idx val="0"/>
              <c:layout>
                <c:manualLayout>
                  <c:x val="-0.14274573490813655"/>
                  <c:y val="2.9909594634004083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97-4DCC-9CCC-C0A2003A23AF}"/>
                </c:ext>
              </c:extLst>
            </c:dLbl>
            <c:dLbl>
              <c:idx val="1"/>
              <c:layout>
                <c:manualLayout>
                  <c:x val="0.13797112860892388"/>
                  <c:y val="-2.3575750947798277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97-4DCC-9CCC-C0A2003A23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104</c:v>
                </c:pt>
                <c:pt idx="1">
                  <c:v>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53C-4390-8946-903D007185D3}"/>
            </c:ext>
          </c:extLst>
        </c:ser>
        <c:firstSliceAng val="0"/>
      </c:pieChart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[Ashima_Pradhan_Healthcare_Excel_Project.xlsx]Treatment Cost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 Treatment Total Cost</a:t>
            </a:r>
          </a:p>
        </c:rich>
      </c:tx>
      <c:layout>
        <c:manualLayout>
          <c:xMode val="edge"/>
          <c:yMode val="edge"/>
          <c:x val="0.31235412881082192"/>
          <c:y val="2.4305555555555556E-2"/>
        </c:manualLayout>
      </c:layout>
      <c:spPr>
        <a:noFill/>
        <a:ln>
          <a:noFill/>
        </a:ln>
        <a:effectLst/>
      </c:sp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'Treatment Cost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'Treatment Cost Analysis'!$A$2:$A$14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'Treatment Cost Analysis'!$B$2:$B$14</c:f>
              <c:numCache>
                <c:formatCode>[$₹-4009]\ #,##0.00</c:formatCode>
                <c:ptCount val="12"/>
                <c:pt idx="0">
                  <c:v>533922</c:v>
                </c:pt>
                <c:pt idx="1">
                  <c:v>500255</c:v>
                </c:pt>
                <c:pt idx="2">
                  <c:v>548313</c:v>
                </c:pt>
                <c:pt idx="3">
                  <c:v>800987</c:v>
                </c:pt>
                <c:pt idx="4">
                  <c:v>428401</c:v>
                </c:pt>
                <c:pt idx="5">
                  <c:v>264517</c:v>
                </c:pt>
                <c:pt idx="6">
                  <c:v>551577</c:v>
                </c:pt>
                <c:pt idx="7">
                  <c:v>513963</c:v>
                </c:pt>
                <c:pt idx="8">
                  <c:v>508317</c:v>
                </c:pt>
                <c:pt idx="9">
                  <c:v>1094023</c:v>
                </c:pt>
                <c:pt idx="10">
                  <c:v>714131</c:v>
                </c:pt>
                <c:pt idx="11">
                  <c:v>500106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9D2-4E57-ACDD-6C7E220E7B25}"/>
            </c:ext>
          </c:extLst>
        </c:ser>
        <c:marker val="1"/>
        <c:axId val="148565376"/>
        <c:axId val="148715008"/>
      </c:lineChart>
      <c:catAx>
        <c:axId val="148565376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9053334679318922"/>
              <c:y val="0.87868037328667281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008"/>
        <c:crosses val="autoZero"/>
        <c:auto val="1"/>
        <c:lblAlgn val="ctr"/>
        <c:lblOffset val="100"/>
      </c:catAx>
      <c:valAx>
        <c:axId val="1487150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 Cost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[$₹-4009]\ #,##0.00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[Ashima_Pradhan_Healthcare_Excel_Project.xlsx]Gender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Distribation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690576222141821"/>
              <c:y val="3.3901081513747038E-2"/>
            </c:manualLayout>
          </c:layout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99A9-4758-AB9E-C8129AC65D6E}"/>
            </c:ext>
          </c:extLst>
        </c:dLbl>
      </c:pivotFmt>
      <c:pivotFmt>
        <c:idx val="14"/>
        <c:spPr>
          <a:solidFill>
            <a:srgbClr val="BFBFB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182345139719723"/>
              <c:y val="-1.0384765734070303E-2"/>
            </c:manualLayout>
          </c:layout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3-99A9-4758-AB9E-C8129AC65D6E}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9A9-4758-AB9E-C8129AC65D6E}"/>
              </c:ext>
            </c:extLst>
          </c:dPt>
          <c:dPt>
            <c:idx val="1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9A9-4758-AB9E-C8129AC65D6E}"/>
              </c:ext>
            </c:extLst>
          </c:dPt>
          <c:dLbls>
            <c:dLbl>
              <c:idx val="0"/>
              <c:layout>
                <c:manualLayout>
                  <c:x val="-0.20690576222141821"/>
                  <c:y val="3.3901081513747038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A9-4758-AB9E-C8129AC65D6E}"/>
                </c:ext>
              </c:extLst>
            </c:dLbl>
            <c:dLbl>
              <c:idx val="1"/>
              <c:layout>
                <c:manualLayout>
                  <c:x val="0.19182345139719723"/>
                  <c:y val="-1.0384765734070303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A9-4758-AB9E-C8129AC65D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104</c:v>
                </c:pt>
                <c:pt idx="1">
                  <c:v>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9A9-4758-AB9E-C8129AC65D6E}"/>
            </c:ext>
          </c:extLst>
        </c:ser>
        <c:firstSliceAng val="0"/>
      </c:pieChart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[Ashima_Pradhan_Healthcare_Excel_Project.xlsx]Treatment Cost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 Treatment Total Cost</a:t>
            </a:r>
          </a:p>
        </c:rich>
      </c:tx>
      <c:layout>
        <c:manualLayout>
          <c:xMode val="edge"/>
          <c:yMode val="edge"/>
          <c:x val="0.42129755502203414"/>
          <c:y val="3.8194444444444448E-2"/>
        </c:manualLayout>
      </c:layout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'Treatment Cost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'Treatment Cost Analysis'!$A$2:$A$14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'Treatment Cost Analysis'!$B$2:$B$14</c:f>
              <c:numCache>
                <c:formatCode>[$₹-4009]\ #,##0.00</c:formatCode>
                <c:ptCount val="12"/>
                <c:pt idx="0">
                  <c:v>533922</c:v>
                </c:pt>
                <c:pt idx="1">
                  <c:v>500255</c:v>
                </c:pt>
                <c:pt idx="2">
                  <c:v>548313</c:v>
                </c:pt>
                <c:pt idx="3">
                  <c:v>800987</c:v>
                </c:pt>
                <c:pt idx="4">
                  <c:v>428401</c:v>
                </c:pt>
                <c:pt idx="5">
                  <c:v>264517</c:v>
                </c:pt>
                <c:pt idx="6">
                  <c:v>551577</c:v>
                </c:pt>
                <c:pt idx="7">
                  <c:v>513963</c:v>
                </c:pt>
                <c:pt idx="8">
                  <c:v>508317</c:v>
                </c:pt>
                <c:pt idx="9">
                  <c:v>1094023</c:v>
                </c:pt>
                <c:pt idx="10">
                  <c:v>714131</c:v>
                </c:pt>
                <c:pt idx="11">
                  <c:v>500106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1A6-43CF-8844-8BEEBD402607}"/>
            </c:ext>
          </c:extLst>
        </c:ser>
        <c:marker val="1"/>
        <c:axId val="148953728"/>
        <c:axId val="148833024"/>
      </c:lineChart>
      <c:catAx>
        <c:axId val="148953728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5051099626223311"/>
              <c:y val="0.9006795077581593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3024"/>
        <c:crosses val="autoZero"/>
        <c:auto val="1"/>
        <c:lblAlgn val="ctr"/>
        <c:lblOffset val="100"/>
      </c:catAx>
      <c:valAx>
        <c:axId val="1488330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 Cost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[$₹-4009]\ #,##0.00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[Ashima_Pradhan_Healthcare_Excel_Project.xlsx]Department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Patient Count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'Department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'Department Analysis'!$A$2:$A$8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Gynecology</c:v>
                </c:pt>
                <c:pt idx="3">
                  <c:v>Neurology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'Department Analysis'!$B$2:$B$8</c:f>
              <c:numCache>
                <c:formatCode>General</c:formatCode>
                <c:ptCount val="6"/>
                <c:pt idx="0">
                  <c:v>31</c:v>
                </c:pt>
                <c:pt idx="1">
                  <c:v>33</c:v>
                </c:pt>
                <c:pt idx="2">
                  <c:v>28</c:v>
                </c:pt>
                <c:pt idx="3">
                  <c:v>40</c:v>
                </c:pt>
                <c:pt idx="4">
                  <c:v>38</c:v>
                </c:pt>
                <c:pt idx="5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D3-4BFD-BF2A-0071F1CD2411}"/>
            </c:ext>
          </c:extLst>
        </c:ser>
        <c:gapWidth val="219"/>
        <c:overlap val="-27"/>
        <c:axId val="148888192"/>
        <c:axId val="148968192"/>
      </c:barChart>
      <c:catAx>
        <c:axId val="148888192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layout>
            <c:manualLayout>
              <c:xMode val="edge"/>
              <c:yMode val="edge"/>
              <c:x val="0.45001968503937023"/>
              <c:y val="0.89256926217556143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8192"/>
        <c:crosses val="autoZero"/>
        <c:auto val="1"/>
        <c:lblAlgn val="ctr"/>
        <c:lblOffset val="100"/>
      </c:catAx>
      <c:valAx>
        <c:axId val="1489681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Patient</a:t>
                </a:r>
              </a:p>
            </c:rich>
          </c:tx>
          <c:layout>
            <c:manualLayout>
              <c:xMode val="edge"/>
              <c:yMode val="edge"/>
              <c:x val="1.1805555555555564E-2"/>
              <c:y val="0.27907771945173521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8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[Ashima_Pradhan_Healthcare_Excel_Project.xlsx]Doctor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Doctor-wise Patient Count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'Doctor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'Doctor Analysis'!$A$2:$A$8</c:f>
              <c:strCache>
                <c:ptCount val="6"/>
                <c:pt idx="0">
                  <c:v>Dr. Gupta</c:v>
                </c:pt>
                <c:pt idx="1">
                  <c:v>Dr. Khan</c:v>
                </c:pt>
                <c:pt idx="2">
                  <c:v>Dr. Mehta</c:v>
                </c:pt>
                <c:pt idx="3">
                  <c:v>Dr. Sharma</c:v>
                </c:pt>
                <c:pt idx="4">
                  <c:v>Dr. Singh</c:v>
                </c:pt>
                <c:pt idx="5">
                  <c:v>Dr. Verma</c:v>
                </c:pt>
              </c:strCache>
            </c:strRef>
          </c:cat>
          <c:val>
            <c:numRef>
              <c:f>'Doctor Analysis'!$B$2:$B$8</c:f>
              <c:numCache>
                <c:formatCode>General</c:formatCode>
                <c:ptCount val="6"/>
                <c:pt idx="0">
                  <c:v>28</c:v>
                </c:pt>
                <c:pt idx="1">
                  <c:v>33</c:v>
                </c:pt>
                <c:pt idx="2">
                  <c:v>40</c:v>
                </c:pt>
                <c:pt idx="3">
                  <c:v>31</c:v>
                </c:pt>
                <c:pt idx="4">
                  <c:v>38</c:v>
                </c:pt>
                <c:pt idx="5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65-4DDB-BA67-0973A7ECA207}"/>
            </c:ext>
          </c:extLst>
        </c:ser>
        <c:gapWidth val="182"/>
        <c:axId val="149035648"/>
        <c:axId val="149037824"/>
      </c:barChart>
      <c:catAx>
        <c:axId val="149035648"/>
        <c:scaling>
          <c:orientation val="minMax"/>
        </c:scaling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Doctor Name</a:t>
                </a:r>
              </a:p>
            </c:rich>
          </c:tx>
          <c:layout>
            <c:manualLayout>
              <c:xMode val="edge"/>
              <c:yMode val="edge"/>
              <c:x val="1.3888888888888897E-2"/>
              <c:y val="0.33443678915135633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7824"/>
        <c:crosses val="autoZero"/>
        <c:auto val="1"/>
        <c:lblAlgn val="ctr"/>
        <c:lblOffset val="100"/>
      </c:catAx>
      <c:valAx>
        <c:axId val="14903782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Patients</a:t>
                </a:r>
              </a:p>
            </c:rich>
          </c:tx>
          <c:layout>
            <c:manualLayout>
              <c:xMode val="edge"/>
              <c:yMode val="edge"/>
              <c:x val="0.39744335083114612"/>
              <c:y val="0.89604148439778364"/>
            </c:manualLayout>
          </c:layout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0</xdr:rowOff>
    </xdr:from>
    <xdr:to>
      <xdr:col>10</xdr:col>
      <xdr:colOff>161925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F05A3C8-EB36-C9BF-2972-72EF29155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57150</xdr:rowOff>
    </xdr:from>
    <xdr:to>
      <xdr:col>9</xdr:col>
      <xdr:colOff>600075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4F041DF-9AF5-8FA4-19A8-6B1CA3F21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38100</xdr:rowOff>
    </xdr:from>
    <xdr:to>
      <xdr:col>10</xdr:col>
      <xdr:colOff>114300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E97BC63-ED2B-6133-0C8A-E747FA752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38100</xdr:rowOff>
    </xdr:from>
    <xdr:to>
      <xdr:col>12</xdr:col>
      <xdr:colOff>228600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51F12E6-9BF1-8213-044F-B2DB588E1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6</xdr:row>
      <xdr:rowOff>123825</xdr:rowOff>
    </xdr:from>
    <xdr:to>
      <xdr:col>12</xdr:col>
      <xdr:colOff>504825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3D4DD60-0055-4F2E-A58A-0B6432FDD84B}"/>
            </a:ext>
            <a:ext uri="{147F2762-F138-4A5C-976F-8EAC2B608ADB}">
              <a16:predDERef xmlns="" xmlns:a16="http://schemas.microsoft.com/office/drawing/2014/main" pred="{E6C9FA01-B2A2-4375-BC4D-3046BEDB5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1</xdr:row>
      <xdr:rowOff>76200</xdr:rowOff>
    </xdr:from>
    <xdr:to>
      <xdr:col>10</xdr:col>
      <xdr:colOff>581025</xdr:colOff>
      <xdr:row>6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390D6B2F-FC37-C2D5-8971-ADE919B562B4}"/>
            </a:ext>
            <a:ext uri="{147F2762-F138-4A5C-976F-8EAC2B608ADB}">
              <a16:predDERef xmlns="" xmlns:a16="http://schemas.microsoft.com/office/drawing/2014/main" pred="{53D4DD60-0055-4F2E-A58A-0B6432FDD84B}"/>
            </a:ext>
          </a:extLst>
        </xdr:cNvPr>
        <xdr:cNvSpPr/>
      </xdr:nvSpPr>
      <xdr:spPr>
        <a:xfrm>
          <a:off x="4010025" y="409575"/>
          <a:ext cx="3857625" cy="952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Total Department</a:t>
          </a:r>
        </a:p>
        <a:p>
          <a:pPr marL="0" indent="0" algn="ctr"/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6</a:t>
          </a:r>
        </a:p>
      </xdr:txBody>
    </xdr:sp>
    <xdr:clientData/>
  </xdr:twoCellAnchor>
  <xdr:twoCellAnchor>
    <xdr:from>
      <xdr:col>11</xdr:col>
      <xdr:colOff>9525</xdr:colOff>
      <xdr:row>1</xdr:row>
      <xdr:rowOff>76200</xdr:rowOff>
    </xdr:from>
    <xdr:to>
      <xdr:col>17</xdr:col>
      <xdr:colOff>228600</xdr:colOff>
      <xdr:row>6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F9FB5C69-902E-A6BD-7B10-A455708603FE}"/>
            </a:ext>
            <a:ext uri="{147F2762-F138-4A5C-976F-8EAC2B608ADB}">
              <a16:predDERef xmlns="" xmlns:a16="http://schemas.microsoft.com/office/drawing/2014/main" pred="{390D6B2F-FC37-C2D5-8971-ADE919B562B4}"/>
            </a:ext>
          </a:extLst>
        </xdr:cNvPr>
        <xdr:cNvSpPr/>
      </xdr:nvSpPr>
      <xdr:spPr>
        <a:xfrm>
          <a:off x="7905750" y="409575"/>
          <a:ext cx="3876675" cy="952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Male Patients </a:t>
          </a:r>
        </a:p>
        <a:p>
          <a:pPr marL="0" indent="0" algn="ctr"/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96</a:t>
          </a:r>
        </a:p>
      </xdr:txBody>
    </xdr:sp>
    <xdr:clientData/>
  </xdr:twoCellAnchor>
  <xdr:twoCellAnchor>
    <xdr:from>
      <xdr:col>17</xdr:col>
      <xdr:colOff>266700</xdr:colOff>
      <xdr:row>1</xdr:row>
      <xdr:rowOff>76200</xdr:rowOff>
    </xdr:from>
    <xdr:to>
      <xdr:col>23</xdr:col>
      <xdr:colOff>485775</xdr:colOff>
      <xdr:row>6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934DB1F0-B8CD-5052-701F-C8B55F286A34}"/>
            </a:ext>
            <a:ext uri="{147F2762-F138-4A5C-976F-8EAC2B608ADB}">
              <a16:predDERef xmlns="" xmlns:a16="http://schemas.microsoft.com/office/drawing/2014/main" pred="{F9FB5C69-902E-A6BD-7B10-A455708603FE}"/>
            </a:ext>
          </a:extLst>
        </xdr:cNvPr>
        <xdr:cNvSpPr/>
      </xdr:nvSpPr>
      <xdr:spPr>
        <a:xfrm>
          <a:off x="11820525" y="409575"/>
          <a:ext cx="3876675" cy="952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Female Patients </a:t>
          </a:r>
        </a:p>
        <a:p>
          <a:pPr marL="0" indent="0" algn="ctr"/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104</a:t>
          </a:r>
        </a:p>
      </xdr:txBody>
    </xdr:sp>
    <xdr:clientData/>
  </xdr:twoCellAnchor>
  <xdr:twoCellAnchor>
    <xdr:from>
      <xdr:col>0</xdr:col>
      <xdr:colOff>114300</xdr:colOff>
      <xdr:row>1</xdr:row>
      <xdr:rowOff>76200</xdr:rowOff>
    </xdr:from>
    <xdr:to>
      <xdr:col>4</xdr:col>
      <xdr:colOff>342900</xdr:colOff>
      <xdr:row>6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4C6153C5-37CE-2853-7ECA-1DB05B173C6D}"/>
            </a:ext>
            <a:ext uri="{147F2762-F138-4A5C-976F-8EAC2B608ADB}">
              <a16:predDERef xmlns="" xmlns:a16="http://schemas.microsoft.com/office/drawing/2014/main" pred="{934DB1F0-B8CD-5052-701F-C8B55F286A34}"/>
            </a:ext>
          </a:extLst>
        </xdr:cNvPr>
        <xdr:cNvSpPr/>
      </xdr:nvSpPr>
      <xdr:spPr>
        <a:xfrm>
          <a:off x="114300" y="409575"/>
          <a:ext cx="3857625" cy="952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Total Patients</a:t>
          </a:r>
        </a:p>
        <a:p>
          <a:pPr marL="0" indent="0" algn="ctr"/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200</a:t>
          </a:r>
        </a:p>
      </xdr:txBody>
    </xdr:sp>
    <xdr:clientData/>
  </xdr:twoCellAnchor>
  <xdr:twoCellAnchor>
    <xdr:from>
      <xdr:col>0</xdr:col>
      <xdr:colOff>114300</xdr:colOff>
      <xdr:row>24</xdr:row>
      <xdr:rowOff>19050</xdr:rowOff>
    </xdr:from>
    <xdr:to>
      <xdr:col>20</xdr:col>
      <xdr:colOff>295275</xdr:colOff>
      <xdr:row>41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B7C40F6E-3083-4701-933B-A002BCA10B44}"/>
            </a:ext>
            <a:ext uri="{147F2762-F138-4A5C-976F-8EAC2B608ADB}">
              <a16:predDERef xmlns="" xmlns:a16="http://schemas.microsoft.com/office/drawing/2014/main" pred="{4C6153C5-37CE-2853-7ECA-1DB05B173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6</xdr:row>
      <xdr:rowOff>123825</xdr:rowOff>
    </xdr:from>
    <xdr:to>
      <xdr:col>6</xdr:col>
      <xdr:colOff>190500</xdr:colOff>
      <xdr:row>23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9A48BA80-9EBF-43C4-A1C3-54098D5DA29B}"/>
            </a:ext>
            <a:ext uri="{147F2762-F138-4A5C-976F-8EAC2B608ADB}">
              <a16:predDERef xmlns="" xmlns:a16="http://schemas.microsoft.com/office/drawing/2014/main" pred="{B7C40F6E-3083-4701-933B-A002BCA10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533400</xdr:colOff>
      <xdr:row>6</xdr:row>
      <xdr:rowOff>123825</xdr:rowOff>
    </xdr:from>
    <xdr:to>
      <xdr:col>20</xdr:col>
      <xdr:colOff>295275</xdr:colOff>
      <xdr:row>23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6C4F8410-E299-485B-BEBD-F4C7A6B70DFF}"/>
            </a:ext>
            <a:ext uri="{147F2762-F138-4A5C-976F-8EAC2B608ADB}">
              <a16:predDERef xmlns="" xmlns:a16="http://schemas.microsoft.com/office/drawing/2014/main" pred="{9A48BA80-9EBF-43C4-A1C3-54098D5DA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352425</xdr:colOff>
      <xdr:row>6</xdr:row>
      <xdr:rowOff>114300</xdr:rowOff>
    </xdr:from>
    <xdr:to>
      <xdr:col>23</xdr:col>
      <xdr:colOff>514350</xdr:colOff>
      <xdr:row>41</xdr:row>
      <xdr:rowOff>142875</xdr:rowOff>
    </xdr:to>
    <xdr:sp macro="" textlink="">
      <xdr:nvSpPr>
        <xdr:cNvPr id="14" name="Rounded Rectangle 13">
          <a:extLst>
            <a:ext uri="{FF2B5EF4-FFF2-40B4-BE49-F238E27FC236}">
              <a16:creationId xmlns="" xmlns:a16="http://schemas.microsoft.com/office/drawing/2014/main" id="{5B379AD1-F262-B663-AF62-DED3F24931FE}"/>
            </a:ext>
            <a:ext uri="{147F2762-F138-4A5C-976F-8EAC2B608ADB}">
              <a16:predDERef xmlns="" xmlns:a16="http://schemas.microsoft.com/office/drawing/2014/main" pred="{6C4F8410-E299-485B-BEBD-F4C7A6B70DFF}"/>
            </a:ext>
          </a:extLst>
        </xdr:cNvPr>
        <xdr:cNvSpPr/>
      </xdr:nvSpPr>
      <xdr:spPr>
        <a:xfrm>
          <a:off x="13735050" y="1400175"/>
          <a:ext cx="1990725" cy="66960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600" b="1" u="sng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b="1" u="sng">
              <a:solidFill>
                <a:schemeClr val="tx1"/>
              </a:solidFill>
              <a:latin typeface="+mn-lt"/>
              <a:ea typeface="+mn-lt"/>
              <a:cs typeface="+mn-lt"/>
            </a:rPr>
            <a:t>KEY INSIGHTS</a:t>
          </a:r>
          <a:endParaRPr lang="en-US" sz="1600" u="non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600" u="non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u="none">
              <a:solidFill>
                <a:schemeClr val="tx1"/>
              </a:solidFill>
              <a:latin typeface="+mn-lt"/>
              <a:ea typeface="+mn-lt"/>
              <a:cs typeface="+mn-lt"/>
            </a:rPr>
            <a:t>• Total Patients Analyzed: 200</a:t>
          </a:r>
        </a:p>
        <a:p>
          <a:pPr marL="0" indent="0" algn="ctr"/>
          <a:endParaRPr lang="en-US" sz="1600" u="non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u="none">
              <a:solidFill>
                <a:schemeClr val="tx1"/>
              </a:solidFill>
              <a:latin typeface="+mn-lt"/>
              <a:ea typeface="+mn-lt"/>
              <a:cs typeface="+mn-lt"/>
            </a:rPr>
            <a:t>• Highest Patient Count Department: Neurology (40 patients)</a:t>
          </a:r>
        </a:p>
        <a:p>
          <a:pPr marL="0" indent="0" algn="ctr"/>
          <a:endParaRPr lang="en-US" sz="1600" u="non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u="none">
              <a:solidFill>
                <a:schemeClr val="tx1"/>
              </a:solidFill>
              <a:latin typeface="+mn-lt"/>
              <a:ea typeface="+mn-lt"/>
              <a:cs typeface="+mn-lt"/>
            </a:rPr>
            <a:t>• Highest Patient Count Doctor: Dr. Mehta (40 patients)</a:t>
          </a:r>
        </a:p>
        <a:p>
          <a:pPr marL="0" indent="0" algn="ctr"/>
          <a:endParaRPr lang="en-US" sz="1600" u="non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u="none">
              <a:solidFill>
                <a:schemeClr val="tx1"/>
              </a:solidFill>
              <a:latin typeface="+mn-lt"/>
              <a:ea typeface="+mn-lt"/>
              <a:cs typeface="+mn-lt"/>
            </a:rPr>
            <a:t>• Gender Distribution: Female (104) and Male (96) patients</a:t>
          </a:r>
        </a:p>
        <a:p>
          <a:pPr marL="0" indent="0" algn="ctr"/>
          <a:endParaRPr lang="en-US" sz="1600" u="none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 u="none">
              <a:solidFill>
                <a:schemeClr val="tx1"/>
              </a:solidFill>
              <a:latin typeface="+mn-lt"/>
              <a:ea typeface="+mn-lt"/>
              <a:cs typeface="+mn-lt"/>
            </a:rPr>
            <a:t>• Highest Treatment Cost Month: October (₹1,094,023)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0.917453125003" createdVersion="8" refreshedVersion="8" minRefreshableVersion="3" recordCount="200">
  <cacheSource type="worksheet">
    <worksheetSource ref="A1:K201" sheet="Patient_Data"/>
  </cacheSource>
  <cacheFields count="11">
    <cacheField name="Patient ID" numFmtId="0">
      <sharedItems count="200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  <s v="P1101"/>
        <s v="P1102"/>
        <s v="P1103"/>
        <s v="P1104"/>
        <s v="P1105"/>
        <s v="P1106"/>
        <s v="P1107"/>
        <s v="P1108"/>
        <s v="P1109"/>
        <s v="P1110"/>
        <s v="P1111"/>
        <s v="P1112"/>
        <s v="P1113"/>
        <s v="P1114"/>
        <s v="P1115"/>
        <s v="P1116"/>
        <s v="P1117"/>
        <s v="P1118"/>
        <s v="P1119"/>
        <s v="P1120"/>
        <s v="P1121"/>
        <s v="P1122"/>
        <s v="P1123"/>
        <s v="P1124"/>
        <s v="P1125"/>
        <s v="P1126"/>
        <s v="P1127"/>
        <s v="P1128"/>
        <s v="P1129"/>
        <s v="P1130"/>
        <s v="P1131"/>
        <s v="P1132"/>
        <s v="P1133"/>
        <s v="P1134"/>
        <s v="P1135"/>
        <s v="P1136"/>
        <s v="P1137"/>
        <s v="P1138"/>
        <s v="P1139"/>
        <s v="P1140"/>
        <s v="P1141"/>
        <s v="P1142"/>
        <s v="P1143"/>
        <s v="P1144"/>
        <s v="P1145"/>
        <s v="P1146"/>
        <s v="P1147"/>
        <s v="P1148"/>
        <s v="P1149"/>
        <s v="P1150"/>
        <s v="P1151"/>
        <s v="P1152"/>
        <s v="P1153"/>
        <s v="P1154"/>
        <s v="P1155"/>
        <s v="P1156"/>
        <s v="P1157"/>
        <s v="P1158"/>
        <s v="P1159"/>
        <s v="P1160"/>
        <s v="P1161"/>
        <s v="P1162"/>
        <s v="P1163"/>
        <s v="P1164"/>
        <s v="P1165"/>
        <s v="P1166"/>
        <s v="P1167"/>
        <s v="P1168"/>
        <s v="P1169"/>
        <s v="P1170"/>
        <s v="P1171"/>
        <s v="P1172"/>
        <s v="P1173"/>
        <s v="P1174"/>
        <s v="P1175"/>
        <s v="P1176"/>
        <s v="P1177"/>
        <s v="P1178"/>
        <s v="P1179"/>
        <s v="P1180"/>
        <s v="P1181"/>
        <s v="P1182"/>
        <s v="P1183"/>
        <s v="P1184"/>
        <s v="P1185"/>
        <s v="P1186"/>
        <s v="P1187"/>
        <s v="P1188"/>
        <s v="P1189"/>
        <s v="P1190"/>
        <s v="P1191"/>
        <s v="P1192"/>
        <s v="P1193"/>
        <s v="P1194"/>
        <s v="P1195"/>
        <s v="P1196"/>
        <s v="P1197"/>
        <s v="P1198"/>
        <s v="P1199"/>
        <s v="P1200"/>
      </sharedItems>
    </cacheField>
    <cacheField name="Patient Name" numFmtId="0">
      <sharedItems/>
    </cacheField>
    <cacheField name="Age" numFmtId="0">
      <sharedItems containsSemiMixedTypes="0" containsString="0" containsNumber="1" containsInteger="1" minValue="18" maxValue="80"/>
    </cacheField>
    <cacheField name="Gender" numFmtId="0">
      <sharedItems count="2">
        <s v="Male"/>
        <s v="Female"/>
      </sharedItems>
    </cacheField>
    <cacheField name="Department" numFmtId="0">
      <sharedItems count="6">
        <s v="Cardiology"/>
        <s v="Neurology"/>
        <s v="General Medicine"/>
        <s v="Pediatrics"/>
        <s v="Gynecology"/>
        <s v="Orthopedics"/>
      </sharedItems>
    </cacheField>
    <cacheField name="Doctor" numFmtId="0">
      <sharedItems count="6">
        <s v="Dr. Sharma"/>
        <s v="Dr. Mehta"/>
        <s v="Dr. Khan"/>
        <s v="Dr. Verma"/>
        <s v="Dr. Gupta"/>
        <s v="Dr. Singh"/>
      </sharedItems>
    </cacheField>
    <cacheField name="Admission Date" numFmtId="14">
      <sharedItems containsSemiMixedTypes="0" containsNonDate="0" containsDate="1" containsString="0" minDate="2025-01-02T00:00:00" maxDate="2025-12-30T00:00:00" count="158">
        <d v="2025-04-22T00:00:00"/>
        <d v="2025-01-05T00:00:00"/>
        <d v="2025-12-10T00:00:00"/>
        <d v="2025-01-06T00:00:00"/>
        <d v="2025-07-16T00:00:00"/>
        <d v="2025-08-07T00:00:00"/>
        <d v="2025-03-02T00:00:00"/>
        <d v="2025-04-10T00:00:00"/>
        <d v="2025-04-24T00:00:00"/>
        <d v="2025-10-06T00:00:00"/>
        <d v="2025-10-26T00:00:00"/>
        <d v="2025-04-30T00:00:00"/>
        <d v="2025-05-03T00:00:00"/>
        <d v="2025-04-12T00:00:00"/>
        <d v="2025-06-14T00:00:00"/>
        <d v="2025-11-14T00:00:00"/>
        <d v="2025-03-29T00:00:00"/>
        <d v="2025-11-09T00:00:00"/>
        <d v="2025-11-12T00:00:00"/>
        <d v="2025-11-22T00:00:00"/>
        <d v="2025-11-02T00:00:00"/>
        <d v="2025-09-23T00:00:00"/>
        <d v="2025-07-25T00:00:00"/>
        <d v="2025-12-01T00:00:00"/>
        <d v="2025-10-19T00:00:00"/>
        <d v="2025-02-01T00:00:00"/>
        <d v="2025-10-17T00:00:00"/>
        <d v="2025-01-10T00:00:00"/>
        <d v="2025-04-14T00:00:00"/>
        <d v="2025-08-09T00:00:00"/>
        <d v="2025-09-09T00:00:00"/>
        <d v="2025-02-19T00:00:00"/>
        <d v="2025-10-29T00:00:00"/>
        <d v="2025-01-20T00:00:00"/>
        <d v="2025-01-03T00:00:00"/>
        <d v="2025-05-25T00:00:00"/>
        <d v="2025-07-26T00:00:00"/>
        <d v="2025-12-16T00:00:00"/>
        <d v="2025-06-27T00:00:00"/>
        <d v="2025-12-09T00:00:00"/>
        <d v="2025-07-03T00:00:00"/>
        <d v="2025-12-29T00:00:00"/>
        <d v="2025-07-09T00:00:00"/>
        <d v="2025-06-10T00:00:00"/>
        <d v="2025-04-07T00:00:00"/>
        <d v="2025-06-26T00:00:00"/>
        <d v="2025-06-04T00:00:00"/>
        <d v="2025-05-24T00:00:00"/>
        <d v="2025-05-02T00:00:00"/>
        <d v="2025-10-30T00:00:00"/>
        <d v="2025-11-28T00:00:00"/>
        <d v="2025-02-24T00:00:00"/>
        <d v="2025-10-08T00:00:00"/>
        <d v="2025-02-12T00:00:00"/>
        <d v="2025-09-11T00:00:00"/>
        <d v="2025-10-28T00:00:00"/>
        <d v="2025-04-20T00:00:00"/>
        <d v="2025-11-03T00:00:00"/>
        <d v="2025-01-21T00:00:00"/>
        <d v="2025-08-14T00:00:00"/>
        <d v="2025-02-10T00:00:00"/>
        <d v="2025-04-18T00:00:00"/>
        <d v="2025-05-10T00:00:00"/>
        <d v="2025-02-25T00:00:00"/>
        <d v="2025-06-24T00:00:00"/>
        <d v="2025-08-02T00:00:00"/>
        <d v="2025-11-25T00:00:00"/>
        <d v="2025-06-06T00:00:00"/>
        <d v="2025-11-24T00:00:00"/>
        <d v="2025-07-30T00:00:00"/>
        <d v="2025-07-02T00:00:00"/>
        <d v="2025-01-25T00:00:00"/>
        <d v="2025-10-13T00:00:00"/>
        <d v="2025-03-28T00:00:00"/>
        <d v="2025-07-24T00:00:00"/>
        <d v="2025-01-30T00:00:00"/>
        <d v="2025-10-10T00:00:00"/>
        <d v="2025-04-15T00:00:00"/>
        <d v="2025-05-22T00:00:00"/>
        <d v="2025-12-25T00:00:00"/>
        <d v="2025-06-29T00:00:00"/>
        <d v="2025-01-02T00:00:00"/>
        <d v="2025-12-02T00:00:00"/>
        <d v="2025-12-13T00:00:00"/>
        <d v="2025-07-06T00:00:00"/>
        <d v="2025-01-11T00:00:00"/>
        <d v="2025-03-10T00:00:00"/>
        <d v="2025-05-18T00:00:00"/>
        <d v="2025-07-15T00:00:00"/>
        <d v="2025-04-16T00:00:00"/>
        <d v="2025-04-19T00:00:00"/>
        <d v="2025-09-29T00:00:00"/>
        <d v="2025-10-18T00:00:00"/>
        <d v="2025-02-02T00:00:00"/>
        <d v="2025-03-15T00:00:00"/>
        <d v="2025-07-14T00:00:00"/>
        <d v="2025-04-08T00:00:00"/>
        <d v="2025-11-23T00:00:00"/>
        <d v="2025-11-01T00:00:00"/>
        <d v="2025-09-15T00:00:00"/>
        <d v="2025-03-16T00:00:00"/>
        <d v="2025-07-23T00:00:00"/>
        <d v="2025-10-23T00:00:00"/>
        <d v="2025-09-03T00:00:00"/>
        <d v="2025-11-08T00:00:00"/>
        <d v="2025-12-28T00:00:00"/>
        <d v="2025-03-25T00:00:00"/>
        <d v="2025-05-17T00:00:00"/>
        <d v="2025-11-11T00:00:00"/>
        <d v="2025-09-20T00:00:00"/>
        <d v="2025-03-12T00:00:00"/>
        <d v="2025-12-15T00:00:00"/>
        <d v="2025-08-18T00:00:00"/>
        <d v="2025-10-22T00:00:00"/>
        <d v="2025-01-08T00:00:00"/>
        <d v="2025-07-10T00:00:00"/>
        <d v="2025-08-05T00:00:00"/>
        <d v="2025-08-29T00:00:00"/>
        <d v="2025-05-29T00:00:00"/>
        <d v="2025-03-26T00:00:00"/>
        <d v="2025-08-06T00:00:00"/>
        <d v="2025-03-05T00:00:00"/>
        <d v="2025-02-20T00:00:00"/>
        <d v="2025-06-12T00:00:00"/>
        <d v="2025-02-26T00:00:00"/>
        <d v="2025-04-03T00:00:00"/>
        <d v="2025-02-11T00:00:00"/>
        <d v="2025-07-22T00:00:00"/>
        <d v="2025-05-14T00:00:00"/>
        <d v="2025-09-30T00:00:00"/>
        <d v="2025-07-17T00:00:00"/>
        <d v="2025-02-05T00:00:00"/>
        <d v="2025-09-22T00:00:00"/>
        <d v="2025-10-25T00:00:00"/>
        <d v="2025-07-07T00:00:00"/>
        <d v="2025-10-12T00:00:00"/>
        <d v="2025-02-16T00:00:00"/>
        <d v="2025-09-19T00:00:00"/>
        <d v="2025-10-11T00:00:00"/>
        <d v="2025-08-08T00:00:00"/>
        <d v="2025-08-20T00:00:00"/>
        <d v="2025-05-07T00:00:00"/>
        <d v="2025-10-14T00:00:00"/>
        <d v="2025-09-12T00:00:00"/>
        <d v="2025-09-13T00:00:00"/>
        <d v="2025-03-09T00:00:00"/>
        <d v="2025-08-10T00:00:00"/>
        <d v="2025-11-20T00:00:00"/>
        <d v="2025-12-05T00:00:00"/>
        <d v="2025-09-18T00:00:00"/>
        <d v="2025-05-19T00:00:00"/>
        <d v="2025-04-01T00:00:00"/>
        <d v="2025-12-22T00:00:00"/>
        <d v="2025-09-28T00:00:00"/>
        <d v="2025-03-04T00:00:00"/>
        <d v="2025-08-30T00:00:00"/>
        <d v="2025-02-03T00:00:00"/>
        <d v="2025-09-16T00:00:00"/>
      </sharedItems>
    </cacheField>
    <cacheField name="Discharge Date" numFmtId="14">
      <sharedItems containsSemiMixedTypes="0" containsNonDate="0" containsDate="1" containsString="0" minDate="2025-01-09T00:00:00" maxDate="2026-01-05T00:00:00"/>
    </cacheField>
    <cacheField name="Length of Stay" numFmtId="0">
      <sharedItems containsSemiMixedTypes="0" containsString="0" containsNumber="1" containsInteger="1" minValue="1" maxValue="10" count="10">
        <n v="2"/>
        <n v="10"/>
        <n v="7"/>
        <n v="9"/>
        <n v="8"/>
        <n v="3"/>
        <n v="5"/>
        <n v="4"/>
        <n v="6"/>
        <n v="1"/>
      </sharedItems>
    </cacheField>
    <cacheField name="Treatment Cost" numFmtId="164">
      <sharedItems containsSemiMixedTypes="0" containsString="0" containsNumber="1" containsInteger="1" minValue="2691" maxValue="8802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xcel Services" refreshedDate="46200.95450162037" createdVersion="8" refreshedVersion="8" minRefreshableVersion="3" recordCount="200">
  <cacheSource type="worksheet">
    <worksheetSource ref="A1:L201" sheet="Patient_Data"/>
  </cacheSource>
  <cacheFields count="12">
    <cacheField name="Patient ID" numFmtId="0">
      <sharedItems count="200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  <s v="P1101"/>
        <s v="P1102"/>
        <s v="P1103"/>
        <s v="P1104"/>
        <s v="P1105"/>
        <s v="P1106"/>
        <s v="P1107"/>
        <s v="P1108"/>
        <s v="P1109"/>
        <s v="P1110"/>
        <s v="P1111"/>
        <s v="P1112"/>
        <s v="P1113"/>
        <s v="P1114"/>
        <s v="P1115"/>
        <s v="P1116"/>
        <s v="P1117"/>
        <s v="P1118"/>
        <s v="P1119"/>
        <s v="P1120"/>
        <s v="P1121"/>
        <s v="P1122"/>
        <s v="P1123"/>
        <s v="P1124"/>
        <s v="P1125"/>
        <s v="P1126"/>
        <s v="P1127"/>
        <s v="P1128"/>
        <s v="P1129"/>
        <s v="P1130"/>
        <s v="P1131"/>
        <s v="P1132"/>
        <s v="P1133"/>
        <s v="P1134"/>
        <s v="P1135"/>
        <s v="P1136"/>
        <s v="P1137"/>
        <s v="P1138"/>
        <s v="P1139"/>
        <s v="P1140"/>
        <s v="P1141"/>
        <s v="P1142"/>
        <s v="P1143"/>
        <s v="P1144"/>
        <s v="P1145"/>
        <s v="P1146"/>
        <s v="P1147"/>
        <s v="P1148"/>
        <s v="P1149"/>
        <s v="P1150"/>
        <s v="P1151"/>
        <s v="P1152"/>
        <s v="P1153"/>
        <s v="P1154"/>
        <s v="P1155"/>
        <s v="P1156"/>
        <s v="P1157"/>
        <s v="P1158"/>
        <s v="P1159"/>
        <s v="P1160"/>
        <s v="P1161"/>
        <s v="P1162"/>
        <s v="P1163"/>
        <s v="P1164"/>
        <s v="P1165"/>
        <s v="P1166"/>
        <s v="P1167"/>
        <s v="P1168"/>
        <s v="P1169"/>
        <s v="P1170"/>
        <s v="P1171"/>
        <s v="P1172"/>
        <s v="P1173"/>
        <s v="P1174"/>
        <s v="P1175"/>
        <s v="P1176"/>
        <s v="P1177"/>
        <s v="P1178"/>
        <s v="P1179"/>
        <s v="P1180"/>
        <s v="P1181"/>
        <s v="P1182"/>
        <s v="P1183"/>
        <s v="P1184"/>
        <s v="P1185"/>
        <s v="P1186"/>
        <s v="P1187"/>
        <s v="P1188"/>
        <s v="P1189"/>
        <s v="P1190"/>
        <s v="P1191"/>
        <s v="P1192"/>
        <s v="P1193"/>
        <s v="P1194"/>
        <s v="P1195"/>
        <s v="P1196"/>
        <s v="P1197"/>
        <s v="P1198"/>
        <s v="P1199"/>
        <s v="P1200"/>
      </sharedItems>
    </cacheField>
    <cacheField name="Patient Name" numFmtId="0">
      <sharedItems/>
    </cacheField>
    <cacheField name="Age" numFmtId="0">
      <sharedItems containsSemiMixedTypes="0" containsString="0" containsNumber="1" containsInteger="1" minValue="18" maxValue="80" count="59">
        <n v="53"/>
        <n v="31"/>
        <n v="57"/>
        <n v="74"/>
        <n v="52"/>
        <n v="29"/>
        <n v="25"/>
        <n v="78"/>
        <n v="33"/>
        <n v="35"/>
        <n v="45"/>
        <n v="69"/>
        <n v="66"/>
        <n v="70"/>
        <n v="34"/>
        <n v="19"/>
        <n v="18"/>
        <n v="46"/>
        <n v="36"/>
        <n v="38"/>
        <n v="79"/>
        <n v="67"/>
        <n v="51"/>
        <n v="73"/>
        <n v="64"/>
        <n v="60"/>
        <n v="24"/>
        <n v="65"/>
        <n v="44"/>
        <n v="55"/>
        <n v="63"/>
        <n v="42"/>
        <n v="28"/>
        <n v="21"/>
        <n v="72"/>
        <n v="56"/>
        <n v="76"/>
        <n v="40"/>
        <n v="68"/>
        <n v="49"/>
        <n v="26"/>
        <n v="20"/>
        <n v="62"/>
        <n v="39"/>
        <n v="77"/>
        <n v="43"/>
        <n v="59"/>
        <n v="41"/>
        <n v="75"/>
        <n v="48"/>
        <n v="32"/>
        <n v="58"/>
        <n v="61"/>
        <n v="37"/>
        <n v="23"/>
        <n v="80"/>
        <n v="27"/>
        <n v="22"/>
        <n v="54"/>
      </sharedItems>
    </cacheField>
    <cacheField name="Gender" numFmtId="0">
      <sharedItems/>
    </cacheField>
    <cacheField name="Department" numFmtId="0">
      <sharedItems/>
    </cacheField>
    <cacheField name="Doctor" numFmtId="0">
      <sharedItems count="6">
        <s v="Dr. Sharma"/>
        <s v="Dr. Mehta"/>
        <s v="Dr. Khan"/>
        <s v="Dr. Verma"/>
        <s v="Dr. Gupta"/>
        <s v="Dr. Singh"/>
      </sharedItems>
    </cacheField>
    <cacheField name="Admission Date" numFmtId="14">
      <sharedItems containsSemiMixedTypes="0" containsNonDate="0" containsDate="1" containsString="0" minDate="2025-01-02T00:00:00" maxDate="2025-12-30T00:00:00"/>
    </cacheField>
    <cacheField name="Discharge Date" numFmtId="14">
      <sharedItems containsSemiMixedTypes="0" containsNonDate="0" containsDate="1" containsString="0" minDate="2025-01-09T00:00:00" maxDate="2026-01-05T00:00:00"/>
    </cacheField>
    <cacheField name="Length of Stay" numFmtId="0">
      <sharedItems containsSemiMixedTypes="0" containsString="0" containsNumber="1" containsInteger="1" minValue="1" maxValue="10"/>
    </cacheField>
    <cacheField name="Treatment Cost" numFmtId="164">
      <sharedItems containsSemiMixedTypes="0" containsString="0" containsNumber="1" containsInteger="1" minValue="2691" maxValue="88020"/>
    </cacheField>
    <cacheField name="Payment Mode" numFmtId="0">
      <sharedItems/>
    </cacheField>
    <cacheField name="Month" numFmtId="0">
      <sharedItems count="12">
        <s v="April"/>
        <s v="January"/>
        <s v="December"/>
        <s v="July"/>
        <s v="August"/>
        <s v="March"/>
        <s v="October"/>
        <s v="May"/>
        <s v="June"/>
        <s v="November"/>
        <s v="September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Patient 1"/>
    <n v="53"/>
    <x v="0"/>
    <x v="0"/>
    <x v="0"/>
    <x v="0"/>
    <d v="2025-04-24T00:00:00"/>
    <x v="0"/>
    <n v="11900"/>
    <s v="Insurance"/>
  </r>
  <r>
    <x v="1"/>
    <s v="Patient 2"/>
    <n v="31"/>
    <x v="1"/>
    <x v="0"/>
    <x v="0"/>
    <x v="1"/>
    <d v="2025-01-15T00:00:00"/>
    <x v="1"/>
    <n v="48180"/>
    <s v="Insurance"/>
  </r>
  <r>
    <x v="2"/>
    <s v="Patient 3"/>
    <n v="57"/>
    <x v="0"/>
    <x v="1"/>
    <x v="1"/>
    <x v="2"/>
    <d v="2025-12-17T00:00:00"/>
    <x v="2"/>
    <n v="60438"/>
    <s v="Cash"/>
  </r>
  <r>
    <x v="3"/>
    <s v="Patient 4"/>
    <n v="74"/>
    <x v="1"/>
    <x v="2"/>
    <x v="2"/>
    <x v="3"/>
    <d v="2025-01-16T00:00:00"/>
    <x v="1"/>
    <n v="54980"/>
    <s v="Card"/>
  </r>
  <r>
    <x v="4"/>
    <s v="Patient 5"/>
    <n v="52"/>
    <x v="0"/>
    <x v="3"/>
    <x v="3"/>
    <x v="4"/>
    <d v="2025-07-25T00:00:00"/>
    <x v="3"/>
    <n v="30096"/>
    <s v="UPI"/>
  </r>
  <r>
    <x v="5"/>
    <s v="Patient 6"/>
    <n v="29"/>
    <x v="1"/>
    <x v="1"/>
    <x v="1"/>
    <x v="5"/>
    <d v="2025-08-15T00:00:00"/>
    <x v="4"/>
    <n v="37160"/>
    <s v="UPI"/>
  </r>
  <r>
    <x v="6"/>
    <s v="Patient 7"/>
    <n v="74"/>
    <x v="1"/>
    <x v="4"/>
    <x v="4"/>
    <x v="6"/>
    <d v="2025-03-05T00:00:00"/>
    <x v="5"/>
    <n v="25272"/>
    <s v="UPI"/>
  </r>
  <r>
    <x v="7"/>
    <s v="Patient 8"/>
    <n v="25"/>
    <x v="0"/>
    <x v="4"/>
    <x v="4"/>
    <x v="7"/>
    <d v="2025-04-17T00:00:00"/>
    <x v="2"/>
    <n v="46466"/>
    <s v="Insurance"/>
  </r>
  <r>
    <x v="8"/>
    <s v="Patient 9"/>
    <n v="78"/>
    <x v="1"/>
    <x v="3"/>
    <x v="3"/>
    <x v="8"/>
    <d v="2025-04-27T00:00:00"/>
    <x v="5"/>
    <n v="15468"/>
    <s v="Insurance"/>
  </r>
  <r>
    <x v="9"/>
    <s v="Patient 10"/>
    <n v="33"/>
    <x v="1"/>
    <x v="5"/>
    <x v="5"/>
    <x v="9"/>
    <d v="2025-10-11T00:00:00"/>
    <x v="6"/>
    <n v="22740"/>
    <s v="Insurance"/>
  </r>
  <r>
    <x v="10"/>
    <s v="Patient 11"/>
    <n v="31"/>
    <x v="0"/>
    <x v="5"/>
    <x v="5"/>
    <x v="10"/>
    <d v="2025-10-30T00:00:00"/>
    <x v="7"/>
    <n v="30044"/>
    <s v="Insurance"/>
  </r>
  <r>
    <x v="11"/>
    <s v="Patient 12"/>
    <n v="35"/>
    <x v="1"/>
    <x v="1"/>
    <x v="1"/>
    <x v="11"/>
    <d v="2025-05-06T00:00:00"/>
    <x v="8"/>
    <n v="20136"/>
    <s v="Card"/>
  </r>
  <r>
    <x v="12"/>
    <s v="Patient 13"/>
    <n v="45"/>
    <x v="1"/>
    <x v="0"/>
    <x v="0"/>
    <x v="12"/>
    <d v="2025-05-08T00:00:00"/>
    <x v="6"/>
    <n v="21220"/>
    <s v="UPI"/>
  </r>
  <r>
    <x v="13"/>
    <s v="Patient 14"/>
    <n v="69"/>
    <x v="1"/>
    <x v="1"/>
    <x v="1"/>
    <x v="13"/>
    <d v="2025-04-17T00:00:00"/>
    <x v="6"/>
    <n v="24205"/>
    <s v="Insurance"/>
  </r>
  <r>
    <x v="14"/>
    <s v="Patient 15"/>
    <n v="66"/>
    <x v="1"/>
    <x v="2"/>
    <x v="2"/>
    <x v="14"/>
    <d v="2025-06-16T00:00:00"/>
    <x v="0"/>
    <n v="15082"/>
    <s v="Card"/>
  </r>
  <r>
    <x v="15"/>
    <s v="Patient 16"/>
    <n v="70"/>
    <x v="1"/>
    <x v="1"/>
    <x v="1"/>
    <x v="15"/>
    <d v="2025-11-21T00:00:00"/>
    <x v="2"/>
    <n v="42364"/>
    <s v="UPI"/>
  </r>
  <r>
    <x v="16"/>
    <s v="Patient 17"/>
    <n v="34"/>
    <x v="0"/>
    <x v="1"/>
    <x v="1"/>
    <x v="16"/>
    <d v="2025-04-07T00:00:00"/>
    <x v="3"/>
    <n v="25470"/>
    <s v="Card"/>
  </r>
  <r>
    <x v="17"/>
    <s v="Patient 18"/>
    <n v="19"/>
    <x v="1"/>
    <x v="5"/>
    <x v="5"/>
    <x v="17"/>
    <d v="2025-11-13T00:00:00"/>
    <x v="7"/>
    <n v="26828"/>
    <s v="UPI"/>
  </r>
  <r>
    <x v="18"/>
    <s v="Patient 19"/>
    <n v="70"/>
    <x v="0"/>
    <x v="1"/>
    <x v="1"/>
    <x v="18"/>
    <d v="2025-11-20T00:00:00"/>
    <x v="4"/>
    <n v="40616"/>
    <s v="Insurance"/>
  </r>
  <r>
    <x v="19"/>
    <s v="Patient 20"/>
    <n v="19"/>
    <x v="0"/>
    <x v="0"/>
    <x v="0"/>
    <x v="19"/>
    <d v="2025-12-02T00:00:00"/>
    <x v="1"/>
    <n v="72650"/>
    <s v="Card"/>
  </r>
  <r>
    <x v="20"/>
    <s v="Patient 21"/>
    <n v="18"/>
    <x v="1"/>
    <x v="2"/>
    <x v="2"/>
    <x v="20"/>
    <d v="2025-11-03T00:00:00"/>
    <x v="9"/>
    <n v="2691"/>
    <s v="Insurance"/>
  </r>
  <r>
    <x v="21"/>
    <s v="Patient 22"/>
    <n v="69"/>
    <x v="1"/>
    <x v="0"/>
    <x v="0"/>
    <x v="21"/>
    <d v="2025-09-30T00:00:00"/>
    <x v="2"/>
    <n v="20237"/>
    <s v="Cash"/>
  </r>
  <r>
    <x v="22"/>
    <s v="Patient 23"/>
    <n v="78"/>
    <x v="0"/>
    <x v="3"/>
    <x v="3"/>
    <x v="22"/>
    <d v="2025-08-04T00:00:00"/>
    <x v="1"/>
    <n v="50100"/>
    <s v="Card"/>
  </r>
  <r>
    <x v="23"/>
    <s v="Patient 24"/>
    <n v="46"/>
    <x v="0"/>
    <x v="2"/>
    <x v="2"/>
    <x v="23"/>
    <d v="2025-12-03T00:00:00"/>
    <x v="0"/>
    <n v="5932"/>
    <s v="UPI"/>
  </r>
  <r>
    <x v="24"/>
    <s v="Patient 25"/>
    <n v="36"/>
    <x v="0"/>
    <x v="5"/>
    <x v="5"/>
    <x v="24"/>
    <d v="2025-10-28T00:00:00"/>
    <x v="3"/>
    <n v="55647"/>
    <s v="Cash"/>
  </r>
  <r>
    <x v="25"/>
    <s v="Patient 26"/>
    <n v="38"/>
    <x v="0"/>
    <x v="3"/>
    <x v="3"/>
    <x v="25"/>
    <d v="2025-02-02T00:00:00"/>
    <x v="9"/>
    <n v="6150"/>
    <s v="Cash"/>
  </r>
  <r>
    <x v="26"/>
    <s v="Patient 27"/>
    <n v="78"/>
    <x v="1"/>
    <x v="5"/>
    <x v="5"/>
    <x v="16"/>
    <d v="2025-04-07T00:00:00"/>
    <x v="3"/>
    <n v="40338"/>
    <s v="Card"/>
  </r>
  <r>
    <x v="27"/>
    <s v="Patient 28"/>
    <n v="79"/>
    <x v="1"/>
    <x v="2"/>
    <x v="2"/>
    <x v="26"/>
    <d v="2025-10-26T00:00:00"/>
    <x v="3"/>
    <n v="65232"/>
    <s v="Card"/>
  </r>
  <r>
    <x v="28"/>
    <s v="Patient 29"/>
    <n v="67"/>
    <x v="1"/>
    <x v="3"/>
    <x v="3"/>
    <x v="27"/>
    <d v="2025-01-18T00:00:00"/>
    <x v="4"/>
    <n v="61880"/>
    <s v="Insurance"/>
  </r>
  <r>
    <x v="29"/>
    <s v="Patient 30"/>
    <n v="51"/>
    <x v="0"/>
    <x v="3"/>
    <x v="3"/>
    <x v="28"/>
    <d v="2025-04-20T00:00:00"/>
    <x v="8"/>
    <n v="45666"/>
    <s v="Card"/>
  </r>
  <r>
    <x v="30"/>
    <s v="Patient 31"/>
    <n v="73"/>
    <x v="1"/>
    <x v="3"/>
    <x v="3"/>
    <x v="29"/>
    <d v="2025-08-18T00:00:00"/>
    <x v="3"/>
    <n v="46008"/>
    <s v="Insurance"/>
  </r>
  <r>
    <x v="31"/>
    <s v="Patient 32"/>
    <n v="70"/>
    <x v="1"/>
    <x v="2"/>
    <x v="2"/>
    <x v="30"/>
    <d v="2025-09-12T00:00:00"/>
    <x v="5"/>
    <n v="26334"/>
    <s v="Cash"/>
  </r>
  <r>
    <x v="32"/>
    <s v="Patient 33"/>
    <n v="64"/>
    <x v="0"/>
    <x v="2"/>
    <x v="2"/>
    <x v="31"/>
    <d v="2025-02-25T00:00:00"/>
    <x v="8"/>
    <n v="44832"/>
    <s v="Card"/>
  </r>
  <r>
    <x v="33"/>
    <s v="Patient 34"/>
    <n v="79"/>
    <x v="1"/>
    <x v="1"/>
    <x v="1"/>
    <x v="32"/>
    <d v="2025-11-03T00:00:00"/>
    <x v="6"/>
    <n v="28505"/>
    <s v="Cash"/>
  </r>
  <r>
    <x v="34"/>
    <s v="Patient 35"/>
    <n v="31"/>
    <x v="0"/>
    <x v="5"/>
    <x v="5"/>
    <x v="33"/>
    <d v="2025-01-25T00:00:00"/>
    <x v="6"/>
    <n v="33345"/>
    <s v="UPI"/>
  </r>
  <r>
    <x v="35"/>
    <s v="Patient 36"/>
    <n v="60"/>
    <x v="1"/>
    <x v="2"/>
    <x v="2"/>
    <x v="34"/>
    <d v="2025-01-09T00:00:00"/>
    <x v="8"/>
    <n v="29484"/>
    <s v="Cash"/>
  </r>
  <r>
    <x v="36"/>
    <s v="Patient 37"/>
    <n v="24"/>
    <x v="1"/>
    <x v="3"/>
    <x v="3"/>
    <x v="9"/>
    <d v="2025-10-15T00:00:00"/>
    <x v="3"/>
    <n v="47619"/>
    <s v="Insurance"/>
  </r>
  <r>
    <x v="37"/>
    <s v="Patient 38"/>
    <n v="65"/>
    <x v="1"/>
    <x v="1"/>
    <x v="1"/>
    <x v="35"/>
    <d v="2025-05-28T00:00:00"/>
    <x v="5"/>
    <n v="13368"/>
    <s v="Card"/>
  </r>
  <r>
    <x v="38"/>
    <s v="Patient 39"/>
    <n v="44"/>
    <x v="1"/>
    <x v="5"/>
    <x v="5"/>
    <x v="36"/>
    <d v="2025-07-28T00:00:00"/>
    <x v="0"/>
    <n v="9540"/>
    <s v="Insurance"/>
  </r>
  <r>
    <x v="39"/>
    <s v="Patient 40"/>
    <n v="55"/>
    <x v="1"/>
    <x v="4"/>
    <x v="4"/>
    <x v="37"/>
    <d v="2025-12-20T00:00:00"/>
    <x v="7"/>
    <n v="11508"/>
    <s v="Cash"/>
  </r>
  <r>
    <x v="40"/>
    <s v="Patient 41"/>
    <n v="63"/>
    <x v="0"/>
    <x v="3"/>
    <x v="3"/>
    <x v="12"/>
    <d v="2025-05-12T00:00:00"/>
    <x v="3"/>
    <n v="74826"/>
    <s v="UPI"/>
  </r>
  <r>
    <x v="41"/>
    <s v="Patient 42"/>
    <n v="60"/>
    <x v="0"/>
    <x v="0"/>
    <x v="0"/>
    <x v="38"/>
    <d v="2025-07-03T00:00:00"/>
    <x v="8"/>
    <n v="27246"/>
    <s v="Cash"/>
  </r>
  <r>
    <x v="42"/>
    <s v="Patient 43"/>
    <n v="42"/>
    <x v="1"/>
    <x v="0"/>
    <x v="0"/>
    <x v="39"/>
    <d v="2025-12-19T00:00:00"/>
    <x v="1"/>
    <n v="51640"/>
    <s v="Cash"/>
  </r>
  <r>
    <x v="43"/>
    <s v="Patient 44"/>
    <n v="35"/>
    <x v="0"/>
    <x v="1"/>
    <x v="1"/>
    <x v="40"/>
    <d v="2025-07-11T00:00:00"/>
    <x v="4"/>
    <n v="32520"/>
    <s v="Cash"/>
  </r>
  <r>
    <x v="44"/>
    <s v="Patient 45"/>
    <n v="28"/>
    <x v="1"/>
    <x v="1"/>
    <x v="1"/>
    <x v="41"/>
    <d v="2025-12-31T00:00:00"/>
    <x v="0"/>
    <n v="11980"/>
    <s v="Cash"/>
  </r>
  <r>
    <x v="45"/>
    <s v="Patient 46"/>
    <n v="21"/>
    <x v="1"/>
    <x v="5"/>
    <x v="5"/>
    <x v="42"/>
    <d v="2025-07-10T00:00:00"/>
    <x v="9"/>
    <n v="5757"/>
    <s v="UPI"/>
  </r>
  <r>
    <x v="46"/>
    <s v="Patient 47"/>
    <n v="35"/>
    <x v="0"/>
    <x v="5"/>
    <x v="5"/>
    <x v="43"/>
    <d v="2025-06-18T00:00:00"/>
    <x v="4"/>
    <n v="23680"/>
    <s v="UPI"/>
  </r>
  <r>
    <x v="47"/>
    <s v="Patient 48"/>
    <n v="45"/>
    <x v="0"/>
    <x v="3"/>
    <x v="3"/>
    <x v="44"/>
    <d v="2025-04-11T00:00:00"/>
    <x v="7"/>
    <n v="33696"/>
    <s v="UPI"/>
  </r>
  <r>
    <x v="48"/>
    <s v="Patient 49"/>
    <n v="73"/>
    <x v="0"/>
    <x v="2"/>
    <x v="2"/>
    <x v="45"/>
    <d v="2025-06-28T00:00:00"/>
    <x v="0"/>
    <n v="8812"/>
    <s v="Insurance"/>
  </r>
  <r>
    <x v="49"/>
    <s v="Patient 50"/>
    <n v="79"/>
    <x v="1"/>
    <x v="5"/>
    <x v="5"/>
    <x v="46"/>
    <d v="2025-06-09T00:00:00"/>
    <x v="6"/>
    <n v="33975"/>
    <s v="Insurance"/>
  </r>
  <r>
    <x v="50"/>
    <s v="Patient 51"/>
    <n v="72"/>
    <x v="0"/>
    <x v="0"/>
    <x v="0"/>
    <x v="47"/>
    <d v="2025-05-27T00:00:00"/>
    <x v="5"/>
    <n v="15285"/>
    <s v="Insurance"/>
  </r>
  <r>
    <x v="51"/>
    <s v="Patient 52"/>
    <n v="33"/>
    <x v="1"/>
    <x v="4"/>
    <x v="4"/>
    <x v="48"/>
    <d v="2025-05-11T00:00:00"/>
    <x v="3"/>
    <n v="38655"/>
    <s v="Cash"/>
  </r>
  <r>
    <x v="52"/>
    <s v="Patient 53"/>
    <n v="52"/>
    <x v="0"/>
    <x v="1"/>
    <x v="1"/>
    <x v="49"/>
    <d v="2025-11-05T00:00:00"/>
    <x v="8"/>
    <n v="43260"/>
    <s v="Insurance"/>
  </r>
  <r>
    <x v="53"/>
    <s v="Patient 54"/>
    <n v="56"/>
    <x v="0"/>
    <x v="3"/>
    <x v="3"/>
    <x v="50"/>
    <d v="2025-11-30T00:00:00"/>
    <x v="0"/>
    <n v="17826"/>
    <s v="Insurance"/>
  </r>
  <r>
    <x v="54"/>
    <s v="Patient 55"/>
    <n v="76"/>
    <x v="1"/>
    <x v="2"/>
    <x v="2"/>
    <x v="51"/>
    <d v="2025-02-28T00:00:00"/>
    <x v="7"/>
    <n v="11932"/>
    <s v="UPI"/>
  </r>
  <r>
    <x v="55"/>
    <s v="Patient 56"/>
    <n v="69"/>
    <x v="1"/>
    <x v="3"/>
    <x v="3"/>
    <x v="52"/>
    <d v="2025-10-11T00:00:00"/>
    <x v="5"/>
    <n v="20472"/>
    <s v="UPI"/>
  </r>
  <r>
    <x v="56"/>
    <s v="Patient 57"/>
    <n v="40"/>
    <x v="0"/>
    <x v="1"/>
    <x v="1"/>
    <x v="53"/>
    <d v="2025-02-15T00:00:00"/>
    <x v="5"/>
    <n v="13650"/>
    <s v="Insurance"/>
  </r>
  <r>
    <x v="57"/>
    <s v="Patient 58"/>
    <n v="68"/>
    <x v="0"/>
    <x v="4"/>
    <x v="4"/>
    <x v="54"/>
    <d v="2025-09-20T00:00:00"/>
    <x v="3"/>
    <n v="42597"/>
    <s v="Insurance"/>
  </r>
  <r>
    <x v="58"/>
    <s v="Patient 59"/>
    <n v="46"/>
    <x v="0"/>
    <x v="5"/>
    <x v="5"/>
    <x v="55"/>
    <d v="2025-11-07T00:00:00"/>
    <x v="1"/>
    <n v="46690"/>
    <s v="UPI"/>
  </r>
  <r>
    <x v="59"/>
    <s v="Patient 60"/>
    <n v="68"/>
    <x v="1"/>
    <x v="0"/>
    <x v="0"/>
    <x v="56"/>
    <d v="2025-04-25T00:00:00"/>
    <x v="6"/>
    <n v="22205"/>
    <s v="Insurance"/>
  </r>
  <r>
    <x v="60"/>
    <s v="Patient 61"/>
    <n v="64"/>
    <x v="1"/>
    <x v="4"/>
    <x v="4"/>
    <x v="57"/>
    <d v="2025-11-08T00:00:00"/>
    <x v="6"/>
    <n v="28065"/>
    <s v="Cash"/>
  </r>
  <r>
    <x v="61"/>
    <s v="Patient 62"/>
    <n v="65"/>
    <x v="0"/>
    <x v="4"/>
    <x v="4"/>
    <x v="58"/>
    <d v="2025-01-29T00:00:00"/>
    <x v="4"/>
    <n v="66448"/>
    <s v="Card"/>
  </r>
  <r>
    <x v="62"/>
    <s v="Patient 63"/>
    <n v="49"/>
    <x v="0"/>
    <x v="1"/>
    <x v="1"/>
    <x v="59"/>
    <d v="2025-08-16T00:00:00"/>
    <x v="0"/>
    <n v="11308"/>
    <s v="UPI"/>
  </r>
  <r>
    <x v="63"/>
    <s v="Patient 64"/>
    <n v="63"/>
    <x v="1"/>
    <x v="2"/>
    <x v="2"/>
    <x v="60"/>
    <d v="2025-02-20T00:00:00"/>
    <x v="1"/>
    <n v="87550"/>
    <s v="Card"/>
  </r>
  <r>
    <x v="64"/>
    <s v="Patient 65"/>
    <n v="57"/>
    <x v="1"/>
    <x v="4"/>
    <x v="4"/>
    <x v="61"/>
    <d v="2025-04-24T00:00:00"/>
    <x v="8"/>
    <n v="38988"/>
    <s v="Cash"/>
  </r>
  <r>
    <x v="65"/>
    <s v="Patient 66"/>
    <n v="55"/>
    <x v="0"/>
    <x v="1"/>
    <x v="1"/>
    <x v="62"/>
    <d v="2025-05-19T00:00:00"/>
    <x v="3"/>
    <n v="49770"/>
    <s v="Cash"/>
  </r>
  <r>
    <x v="66"/>
    <s v="Patient 67"/>
    <n v="68"/>
    <x v="1"/>
    <x v="2"/>
    <x v="2"/>
    <x v="63"/>
    <d v="2025-03-07T00:00:00"/>
    <x v="1"/>
    <n v="88020"/>
    <s v="UPI"/>
  </r>
  <r>
    <x v="67"/>
    <s v="Patient 68"/>
    <n v="69"/>
    <x v="1"/>
    <x v="4"/>
    <x v="4"/>
    <x v="64"/>
    <d v="2025-07-02T00:00:00"/>
    <x v="4"/>
    <n v="26552"/>
    <s v="Cash"/>
  </r>
  <r>
    <x v="68"/>
    <s v="Patient 69"/>
    <n v="26"/>
    <x v="1"/>
    <x v="5"/>
    <x v="5"/>
    <x v="65"/>
    <d v="2025-08-08T00:00:00"/>
    <x v="8"/>
    <n v="53748"/>
    <s v="Card"/>
  </r>
  <r>
    <x v="69"/>
    <s v="Patient 70"/>
    <n v="20"/>
    <x v="0"/>
    <x v="3"/>
    <x v="3"/>
    <x v="66"/>
    <d v="2025-12-03T00:00:00"/>
    <x v="4"/>
    <n v="56640"/>
    <s v="UPI"/>
  </r>
  <r>
    <x v="70"/>
    <s v="Patient 71"/>
    <n v="62"/>
    <x v="0"/>
    <x v="0"/>
    <x v="0"/>
    <x v="67"/>
    <d v="2025-06-12T00:00:00"/>
    <x v="8"/>
    <n v="25638"/>
    <s v="Insurance"/>
  </r>
  <r>
    <x v="71"/>
    <s v="Patient 72"/>
    <n v="39"/>
    <x v="0"/>
    <x v="5"/>
    <x v="5"/>
    <x v="68"/>
    <d v="2025-11-30T00:00:00"/>
    <x v="8"/>
    <n v="53394"/>
    <s v="UPI"/>
  </r>
  <r>
    <x v="72"/>
    <s v="Patient 73"/>
    <n v="63"/>
    <x v="0"/>
    <x v="5"/>
    <x v="5"/>
    <x v="69"/>
    <d v="2025-07-31T00:00:00"/>
    <x v="9"/>
    <n v="5515"/>
    <s v="Cash"/>
  </r>
  <r>
    <x v="73"/>
    <s v="Patient 74"/>
    <n v="28"/>
    <x v="1"/>
    <x v="0"/>
    <x v="0"/>
    <x v="70"/>
    <d v="2025-07-10T00:00:00"/>
    <x v="4"/>
    <n v="35368"/>
    <s v="UPI"/>
  </r>
  <r>
    <x v="74"/>
    <s v="Patient 75"/>
    <n v="51"/>
    <x v="0"/>
    <x v="3"/>
    <x v="3"/>
    <x v="71"/>
    <d v="2025-01-31T00:00:00"/>
    <x v="8"/>
    <n v="46770"/>
    <s v="Insurance"/>
  </r>
  <r>
    <x v="75"/>
    <s v="Patient 76"/>
    <n v="38"/>
    <x v="0"/>
    <x v="1"/>
    <x v="1"/>
    <x v="43"/>
    <d v="2025-06-16T00:00:00"/>
    <x v="8"/>
    <n v="16614"/>
    <s v="Card"/>
  </r>
  <r>
    <x v="76"/>
    <s v="Patient 77"/>
    <n v="62"/>
    <x v="1"/>
    <x v="0"/>
    <x v="0"/>
    <x v="72"/>
    <d v="2025-10-17T00:00:00"/>
    <x v="7"/>
    <n v="28688"/>
    <s v="Cash"/>
  </r>
  <r>
    <x v="77"/>
    <s v="Patient 78"/>
    <n v="31"/>
    <x v="1"/>
    <x v="5"/>
    <x v="5"/>
    <x v="73"/>
    <d v="2025-04-01T00:00:00"/>
    <x v="7"/>
    <n v="16436"/>
    <s v="Insurance"/>
  </r>
  <r>
    <x v="78"/>
    <s v="Patient 79"/>
    <n v="21"/>
    <x v="0"/>
    <x v="2"/>
    <x v="2"/>
    <x v="72"/>
    <d v="2025-10-18T00:00:00"/>
    <x v="6"/>
    <n v="36700"/>
    <s v="Insurance"/>
  </r>
  <r>
    <x v="79"/>
    <s v="Patient 80"/>
    <n v="19"/>
    <x v="0"/>
    <x v="1"/>
    <x v="1"/>
    <x v="74"/>
    <d v="2025-07-31T00:00:00"/>
    <x v="2"/>
    <n v="37849"/>
    <s v="Card"/>
  </r>
  <r>
    <x v="80"/>
    <s v="Patient 81"/>
    <n v="66"/>
    <x v="1"/>
    <x v="1"/>
    <x v="1"/>
    <x v="75"/>
    <d v="2025-01-31T00:00:00"/>
    <x v="9"/>
    <n v="3891"/>
    <s v="Card"/>
  </r>
  <r>
    <x v="81"/>
    <s v="Patient 82"/>
    <n v="77"/>
    <x v="0"/>
    <x v="1"/>
    <x v="1"/>
    <x v="76"/>
    <d v="2025-10-18T00:00:00"/>
    <x v="4"/>
    <n v="55744"/>
    <s v="Cash"/>
  </r>
  <r>
    <x v="82"/>
    <s v="Patient 83"/>
    <n v="34"/>
    <x v="0"/>
    <x v="5"/>
    <x v="5"/>
    <x v="77"/>
    <d v="2025-04-19T00:00:00"/>
    <x v="7"/>
    <n v="27380"/>
    <s v="UPI"/>
  </r>
  <r>
    <x v="83"/>
    <s v="Patient 84"/>
    <n v="62"/>
    <x v="1"/>
    <x v="4"/>
    <x v="4"/>
    <x v="78"/>
    <d v="2025-05-28T00:00:00"/>
    <x v="8"/>
    <n v="50052"/>
    <s v="UPI"/>
  </r>
  <r>
    <x v="84"/>
    <s v="Patient 85"/>
    <n v="40"/>
    <x v="1"/>
    <x v="2"/>
    <x v="2"/>
    <x v="41"/>
    <d v="2026-01-04T00:00:00"/>
    <x v="8"/>
    <n v="53496"/>
    <s v="Cash"/>
  </r>
  <r>
    <x v="85"/>
    <s v="Patient 86"/>
    <n v="24"/>
    <x v="0"/>
    <x v="1"/>
    <x v="1"/>
    <x v="79"/>
    <d v="2026-01-01T00:00:00"/>
    <x v="2"/>
    <n v="43736"/>
    <s v="Card"/>
  </r>
  <r>
    <x v="86"/>
    <s v="Patient 87"/>
    <n v="43"/>
    <x v="1"/>
    <x v="2"/>
    <x v="2"/>
    <x v="80"/>
    <d v="2025-07-01T00:00:00"/>
    <x v="0"/>
    <n v="7412"/>
    <s v="Insurance"/>
  </r>
  <r>
    <x v="87"/>
    <s v="Patient 88"/>
    <n v="59"/>
    <x v="1"/>
    <x v="1"/>
    <x v="1"/>
    <x v="81"/>
    <d v="2025-01-12T00:00:00"/>
    <x v="1"/>
    <n v="35860"/>
    <s v="UPI"/>
  </r>
  <r>
    <x v="88"/>
    <s v="Patient 89"/>
    <n v="24"/>
    <x v="1"/>
    <x v="1"/>
    <x v="1"/>
    <x v="82"/>
    <d v="2025-12-03T00:00:00"/>
    <x v="9"/>
    <n v="8194"/>
    <s v="Card"/>
  </r>
  <r>
    <x v="89"/>
    <s v="Patient 90"/>
    <n v="41"/>
    <x v="0"/>
    <x v="2"/>
    <x v="2"/>
    <x v="83"/>
    <d v="2025-12-18T00:00:00"/>
    <x v="6"/>
    <n v="22720"/>
    <s v="Cash"/>
  </r>
  <r>
    <x v="90"/>
    <s v="Patient 91"/>
    <n v="70"/>
    <x v="1"/>
    <x v="0"/>
    <x v="0"/>
    <x v="84"/>
    <d v="2025-07-11T00:00:00"/>
    <x v="6"/>
    <n v="17835"/>
    <s v="Insurance"/>
  </r>
  <r>
    <x v="91"/>
    <s v="Patient 92"/>
    <n v="75"/>
    <x v="0"/>
    <x v="2"/>
    <x v="2"/>
    <x v="85"/>
    <d v="2025-01-20T00:00:00"/>
    <x v="3"/>
    <n v="68571"/>
    <s v="Cash"/>
  </r>
  <r>
    <x v="92"/>
    <s v="Patient 93"/>
    <n v="59"/>
    <x v="0"/>
    <x v="3"/>
    <x v="3"/>
    <x v="86"/>
    <d v="2025-03-18T00:00:00"/>
    <x v="4"/>
    <n v="34760"/>
    <s v="UPI"/>
  </r>
  <r>
    <x v="93"/>
    <s v="Patient 94"/>
    <n v="55"/>
    <x v="0"/>
    <x v="0"/>
    <x v="0"/>
    <x v="87"/>
    <d v="2025-05-25T00:00:00"/>
    <x v="2"/>
    <n v="39235"/>
    <s v="Insurance"/>
  </r>
  <r>
    <x v="94"/>
    <s v="Patient 95"/>
    <n v="70"/>
    <x v="0"/>
    <x v="1"/>
    <x v="1"/>
    <x v="14"/>
    <d v="2025-06-17T00:00:00"/>
    <x v="5"/>
    <n v="20211"/>
    <s v="Card"/>
  </r>
  <r>
    <x v="95"/>
    <s v="Patient 96"/>
    <n v="79"/>
    <x v="0"/>
    <x v="1"/>
    <x v="1"/>
    <x v="88"/>
    <d v="2025-07-21T00:00:00"/>
    <x v="8"/>
    <n v="45084"/>
    <s v="Card"/>
  </r>
  <r>
    <x v="96"/>
    <s v="Patient 97"/>
    <n v="49"/>
    <x v="0"/>
    <x v="0"/>
    <x v="0"/>
    <x v="89"/>
    <d v="2025-04-26T00:00:00"/>
    <x v="1"/>
    <n v="27860"/>
    <s v="Cash"/>
  </r>
  <r>
    <x v="97"/>
    <s v="Patient 98"/>
    <n v="51"/>
    <x v="1"/>
    <x v="5"/>
    <x v="5"/>
    <x v="90"/>
    <d v="2025-04-25T00:00:00"/>
    <x v="8"/>
    <n v="26820"/>
    <s v="Card"/>
  </r>
  <r>
    <x v="98"/>
    <s v="Patient 99"/>
    <n v="48"/>
    <x v="1"/>
    <x v="1"/>
    <x v="1"/>
    <x v="91"/>
    <d v="2025-10-03T00:00:00"/>
    <x v="7"/>
    <n v="22728"/>
    <s v="Cash"/>
  </r>
  <r>
    <x v="99"/>
    <s v="Patient 100"/>
    <n v="75"/>
    <x v="0"/>
    <x v="0"/>
    <x v="0"/>
    <x v="48"/>
    <d v="2025-05-04T00:00:00"/>
    <x v="0"/>
    <n v="16918"/>
    <s v="Cash"/>
  </r>
  <r>
    <x v="100"/>
    <s v="Patient 101"/>
    <n v="42"/>
    <x v="0"/>
    <x v="0"/>
    <x v="0"/>
    <x v="92"/>
    <d v="2025-10-22T00:00:00"/>
    <x v="7"/>
    <n v="33752"/>
    <s v="UPI"/>
  </r>
  <r>
    <x v="101"/>
    <s v="Patient 102"/>
    <n v="78"/>
    <x v="0"/>
    <x v="5"/>
    <x v="5"/>
    <x v="93"/>
    <d v="2025-02-08T00:00:00"/>
    <x v="8"/>
    <n v="41010"/>
    <s v="Insurance"/>
  </r>
  <r>
    <x v="102"/>
    <s v="Patient 103"/>
    <n v="20"/>
    <x v="1"/>
    <x v="4"/>
    <x v="4"/>
    <x v="94"/>
    <d v="2025-03-25T00:00:00"/>
    <x v="1"/>
    <n v="26620"/>
    <s v="UPI"/>
  </r>
  <r>
    <x v="103"/>
    <s v="Patient 104"/>
    <n v="66"/>
    <x v="1"/>
    <x v="4"/>
    <x v="4"/>
    <x v="95"/>
    <d v="2025-07-24T00:00:00"/>
    <x v="1"/>
    <n v="76610"/>
    <s v="UPI"/>
  </r>
  <r>
    <x v="104"/>
    <s v="Patient 105"/>
    <n v="18"/>
    <x v="1"/>
    <x v="5"/>
    <x v="5"/>
    <x v="96"/>
    <d v="2025-04-11T00:00:00"/>
    <x v="5"/>
    <n v="21330"/>
    <s v="Cash"/>
  </r>
  <r>
    <x v="105"/>
    <s v="Patient 106"/>
    <n v="19"/>
    <x v="1"/>
    <x v="4"/>
    <x v="4"/>
    <x v="97"/>
    <d v="2025-12-03T00:00:00"/>
    <x v="1"/>
    <n v="85000"/>
    <s v="UPI"/>
  </r>
  <r>
    <x v="106"/>
    <s v="Patient 107"/>
    <n v="75"/>
    <x v="0"/>
    <x v="0"/>
    <x v="0"/>
    <x v="98"/>
    <d v="2025-11-02T00:00:00"/>
    <x v="9"/>
    <n v="6367"/>
    <s v="UPI"/>
  </r>
  <r>
    <x v="107"/>
    <s v="Patient 108"/>
    <n v="76"/>
    <x v="1"/>
    <x v="1"/>
    <x v="1"/>
    <x v="2"/>
    <d v="2025-12-19T00:00:00"/>
    <x v="3"/>
    <n v="62388"/>
    <s v="Card"/>
  </r>
  <r>
    <x v="108"/>
    <s v="Patient 109"/>
    <n v="79"/>
    <x v="0"/>
    <x v="2"/>
    <x v="2"/>
    <x v="99"/>
    <d v="2025-09-16T00:00:00"/>
    <x v="9"/>
    <n v="7979"/>
    <s v="Insurance"/>
  </r>
  <r>
    <x v="109"/>
    <s v="Patient 110"/>
    <n v="76"/>
    <x v="0"/>
    <x v="1"/>
    <x v="1"/>
    <x v="100"/>
    <d v="2025-03-26T00:00:00"/>
    <x v="1"/>
    <n v="77820"/>
    <s v="UPI"/>
  </r>
  <r>
    <x v="110"/>
    <s v="Patient 111"/>
    <n v="46"/>
    <x v="1"/>
    <x v="5"/>
    <x v="5"/>
    <x v="101"/>
    <d v="2025-07-31T00:00:00"/>
    <x v="4"/>
    <n v="60328"/>
    <s v="Insurance"/>
  </r>
  <r>
    <x v="111"/>
    <s v="Patient 112"/>
    <n v="32"/>
    <x v="1"/>
    <x v="3"/>
    <x v="3"/>
    <x v="102"/>
    <d v="2025-11-02T00:00:00"/>
    <x v="1"/>
    <n v="87900"/>
    <s v="Insurance"/>
  </r>
  <r>
    <x v="112"/>
    <s v="Patient 113"/>
    <n v="62"/>
    <x v="0"/>
    <x v="4"/>
    <x v="4"/>
    <x v="74"/>
    <d v="2025-08-01T00:00:00"/>
    <x v="4"/>
    <n v="39688"/>
    <s v="UPI"/>
  </r>
  <r>
    <x v="113"/>
    <s v="Patient 114"/>
    <n v="48"/>
    <x v="0"/>
    <x v="0"/>
    <x v="0"/>
    <x v="103"/>
    <d v="2025-09-06T00:00:00"/>
    <x v="5"/>
    <n v="16668"/>
    <s v="UPI"/>
  </r>
  <r>
    <x v="114"/>
    <s v="Patient 115"/>
    <n v="28"/>
    <x v="0"/>
    <x v="5"/>
    <x v="5"/>
    <x v="104"/>
    <d v="2025-11-10T00:00:00"/>
    <x v="0"/>
    <n v="14844"/>
    <s v="Cash"/>
  </r>
  <r>
    <x v="115"/>
    <s v="Patient 116"/>
    <n v="31"/>
    <x v="1"/>
    <x v="2"/>
    <x v="2"/>
    <x v="103"/>
    <d v="2025-09-12T00:00:00"/>
    <x v="3"/>
    <n v="35505"/>
    <s v="UPI"/>
  </r>
  <r>
    <x v="116"/>
    <s v="Patient 117"/>
    <n v="57"/>
    <x v="0"/>
    <x v="2"/>
    <x v="2"/>
    <x v="105"/>
    <d v="2026-01-04T00:00:00"/>
    <x v="2"/>
    <n v="20188"/>
    <s v="Card"/>
  </r>
  <r>
    <x v="117"/>
    <s v="Patient 118"/>
    <n v="48"/>
    <x v="1"/>
    <x v="0"/>
    <x v="0"/>
    <x v="106"/>
    <d v="2025-04-02T00:00:00"/>
    <x v="4"/>
    <n v="49336"/>
    <s v="Insurance"/>
  </r>
  <r>
    <x v="118"/>
    <s v="Patient 119"/>
    <n v="44"/>
    <x v="0"/>
    <x v="5"/>
    <x v="5"/>
    <x v="55"/>
    <d v="2025-11-05T00:00:00"/>
    <x v="4"/>
    <n v="39712"/>
    <s v="Insurance"/>
  </r>
  <r>
    <x v="119"/>
    <s v="Patient 120"/>
    <n v="77"/>
    <x v="0"/>
    <x v="3"/>
    <x v="3"/>
    <x v="107"/>
    <d v="2025-05-21T00:00:00"/>
    <x v="7"/>
    <n v="35220"/>
    <s v="Insurance"/>
  </r>
  <r>
    <x v="120"/>
    <s v="Patient 121"/>
    <n v="58"/>
    <x v="0"/>
    <x v="5"/>
    <x v="5"/>
    <x v="108"/>
    <d v="2025-11-19T00:00:00"/>
    <x v="4"/>
    <n v="51896"/>
    <s v="UPI"/>
  </r>
  <r>
    <x v="121"/>
    <s v="Patient 122"/>
    <n v="61"/>
    <x v="0"/>
    <x v="5"/>
    <x v="5"/>
    <x v="109"/>
    <d v="2025-09-24T00:00:00"/>
    <x v="7"/>
    <n v="27356"/>
    <s v="Card"/>
  </r>
  <r>
    <x v="122"/>
    <s v="Patient 123"/>
    <n v="59"/>
    <x v="1"/>
    <x v="3"/>
    <x v="3"/>
    <x v="110"/>
    <d v="2025-03-21T00:00:00"/>
    <x v="3"/>
    <n v="65628"/>
    <s v="UPI"/>
  </r>
  <r>
    <x v="123"/>
    <s v="Patient 124"/>
    <n v="74"/>
    <x v="0"/>
    <x v="4"/>
    <x v="4"/>
    <x v="111"/>
    <d v="2025-12-18T00:00:00"/>
    <x v="5"/>
    <n v="12099"/>
    <s v="Insurance"/>
  </r>
  <r>
    <x v="124"/>
    <s v="Patient 125"/>
    <n v="18"/>
    <x v="0"/>
    <x v="0"/>
    <x v="0"/>
    <x v="112"/>
    <d v="2025-08-19T00:00:00"/>
    <x v="9"/>
    <n v="4740"/>
    <s v="Card"/>
  </r>
  <r>
    <x v="125"/>
    <s v="Patient 126"/>
    <n v="70"/>
    <x v="0"/>
    <x v="3"/>
    <x v="3"/>
    <x v="113"/>
    <d v="2025-10-27T00:00:00"/>
    <x v="6"/>
    <n v="15690"/>
    <s v="Cash"/>
  </r>
  <r>
    <x v="126"/>
    <s v="Patient 127"/>
    <n v="21"/>
    <x v="1"/>
    <x v="5"/>
    <x v="5"/>
    <x v="114"/>
    <d v="2025-01-16T00:00:00"/>
    <x v="4"/>
    <n v="46624"/>
    <s v="Card"/>
  </r>
  <r>
    <x v="127"/>
    <s v="Patient 128"/>
    <n v="29"/>
    <x v="1"/>
    <x v="5"/>
    <x v="5"/>
    <x v="115"/>
    <d v="2025-07-12T00:00:00"/>
    <x v="0"/>
    <n v="14236"/>
    <s v="Card"/>
  </r>
  <r>
    <x v="128"/>
    <s v="Patient 129"/>
    <n v="25"/>
    <x v="0"/>
    <x v="5"/>
    <x v="5"/>
    <x v="116"/>
    <d v="2025-08-08T00:00:00"/>
    <x v="5"/>
    <n v="22773"/>
    <s v="Cash"/>
  </r>
  <r>
    <x v="129"/>
    <s v="Patient 130"/>
    <n v="37"/>
    <x v="1"/>
    <x v="5"/>
    <x v="5"/>
    <x v="117"/>
    <d v="2025-09-06T00:00:00"/>
    <x v="4"/>
    <n v="60968"/>
    <s v="Cash"/>
  </r>
  <r>
    <x v="130"/>
    <s v="Patient 131"/>
    <n v="62"/>
    <x v="1"/>
    <x v="0"/>
    <x v="0"/>
    <x v="118"/>
    <d v="2025-06-07T00:00:00"/>
    <x v="3"/>
    <n v="29178"/>
    <s v="Insurance"/>
  </r>
  <r>
    <x v="131"/>
    <s v="Patient 132"/>
    <n v="23"/>
    <x v="0"/>
    <x v="4"/>
    <x v="4"/>
    <x v="119"/>
    <d v="2025-04-01T00:00:00"/>
    <x v="8"/>
    <n v="44316"/>
    <s v="Insurance"/>
  </r>
  <r>
    <x v="132"/>
    <s v="Patient 133"/>
    <n v="51"/>
    <x v="1"/>
    <x v="3"/>
    <x v="3"/>
    <x v="120"/>
    <d v="2025-08-09T00:00:00"/>
    <x v="5"/>
    <n v="10194"/>
    <s v="Card"/>
  </r>
  <r>
    <x v="133"/>
    <s v="Patient 134"/>
    <n v="73"/>
    <x v="1"/>
    <x v="4"/>
    <x v="4"/>
    <x v="76"/>
    <d v="2025-10-14T00:00:00"/>
    <x v="7"/>
    <n v="33888"/>
    <s v="Card"/>
  </r>
  <r>
    <x v="134"/>
    <s v="Patient 135"/>
    <n v="32"/>
    <x v="1"/>
    <x v="3"/>
    <x v="3"/>
    <x v="121"/>
    <d v="2025-03-08T00:00:00"/>
    <x v="5"/>
    <n v="25242"/>
    <s v="UPI"/>
  </r>
  <r>
    <x v="135"/>
    <s v="Patient 136"/>
    <n v="78"/>
    <x v="1"/>
    <x v="3"/>
    <x v="3"/>
    <x v="7"/>
    <d v="2025-04-14T00:00:00"/>
    <x v="7"/>
    <n v="19728"/>
    <s v="UPI"/>
  </r>
  <r>
    <x v="136"/>
    <s v="Patient 137"/>
    <n v="79"/>
    <x v="0"/>
    <x v="0"/>
    <x v="0"/>
    <x v="122"/>
    <d v="2025-02-22T00:00:00"/>
    <x v="0"/>
    <n v="13328"/>
    <s v="Cash"/>
  </r>
  <r>
    <x v="137"/>
    <s v="Patient 138"/>
    <n v="80"/>
    <x v="1"/>
    <x v="2"/>
    <x v="2"/>
    <x v="109"/>
    <d v="2025-09-26T00:00:00"/>
    <x v="8"/>
    <n v="18054"/>
    <s v="UPI"/>
  </r>
  <r>
    <x v="138"/>
    <s v="Patient 139"/>
    <n v="45"/>
    <x v="1"/>
    <x v="1"/>
    <x v="1"/>
    <x v="123"/>
    <d v="2025-06-17T00:00:00"/>
    <x v="6"/>
    <n v="39185"/>
    <s v="Insurance"/>
  </r>
  <r>
    <x v="139"/>
    <s v="Patient 140"/>
    <n v="27"/>
    <x v="1"/>
    <x v="0"/>
    <x v="0"/>
    <x v="14"/>
    <d v="2025-06-16T00:00:00"/>
    <x v="0"/>
    <n v="10444"/>
    <s v="Insurance"/>
  </r>
  <r>
    <x v="140"/>
    <s v="Patient 141"/>
    <n v="38"/>
    <x v="1"/>
    <x v="5"/>
    <x v="5"/>
    <x v="124"/>
    <d v="2025-03-06T00:00:00"/>
    <x v="4"/>
    <n v="59760"/>
    <s v="UPI"/>
  </r>
  <r>
    <x v="141"/>
    <s v="Patient 142"/>
    <n v="79"/>
    <x v="1"/>
    <x v="5"/>
    <x v="5"/>
    <x v="0"/>
    <d v="2025-05-02T00:00:00"/>
    <x v="1"/>
    <n v="76020"/>
    <s v="Cash"/>
  </r>
  <r>
    <x v="142"/>
    <s v="Patient 143"/>
    <n v="21"/>
    <x v="1"/>
    <x v="4"/>
    <x v="4"/>
    <x v="125"/>
    <d v="2025-04-09T00:00:00"/>
    <x v="8"/>
    <n v="52488"/>
    <s v="Cash"/>
  </r>
  <r>
    <x v="143"/>
    <s v="Patient 144"/>
    <n v="62"/>
    <x v="1"/>
    <x v="1"/>
    <x v="1"/>
    <x v="126"/>
    <d v="2025-02-17T00:00:00"/>
    <x v="8"/>
    <n v="19104"/>
    <s v="UPI"/>
  </r>
  <r>
    <x v="144"/>
    <s v="Patient 145"/>
    <n v="42"/>
    <x v="0"/>
    <x v="3"/>
    <x v="3"/>
    <x v="127"/>
    <d v="2025-07-23T00:00:00"/>
    <x v="9"/>
    <n v="3359"/>
    <s v="UPI"/>
  </r>
  <r>
    <x v="145"/>
    <s v="Patient 146"/>
    <n v="28"/>
    <x v="1"/>
    <x v="2"/>
    <x v="2"/>
    <x v="128"/>
    <d v="2025-05-16T00:00:00"/>
    <x v="0"/>
    <n v="15232"/>
    <s v="Card"/>
  </r>
  <r>
    <x v="146"/>
    <s v="Patient 147"/>
    <n v="51"/>
    <x v="0"/>
    <x v="0"/>
    <x v="0"/>
    <x v="38"/>
    <d v="2025-06-29T00:00:00"/>
    <x v="0"/>
    <n v="9666"/>
    <s v="Cash"/>
  </r>
  <r>
    <x v="147"/>
    <s v="Patient 148"/>
    <n v="31"/>
    <x v="1"/>
    <x v="5"/>
    <x v="5"/>
    <x v="83"/>
    <d v="2025-12-22T00:00:00"/>
    <x v="3"/>
    <n v="27621"/>
    <s v="Card"/>
  </r>
  <r>
    <x v="148"/>
    <s v="Patient 149"/>
    <n v="59"/>
    <x v="1"/>
    <x v="1"/>
    <x v="1"/>
    <x v="59"/>
    <d v="2025-08-22T00:00:00"/>
    <x v="4"/>
    <n v="55968"/>
    <s v="UPI"/>
  </r>
  <r>
    <x v="149"/>
    <s v="Patient 150"/>
    <n v="59"/>
    <x v="1"/>
    <x v="1"/>
    <x v="1"/>
    <x v="129"/>
    <d v="2025-10-04T00:00:00"/>
    <x v="7"/>
    <n v="30164"/>
    <s v="UPI"/>
  </r>
  <r>
    <x v="150"/>
    <s v="Patient 151"/>
    <n v="73"/>
    <x v="0"/>
    <x v="2"/>
    <x v="2"/>
    <x v="130"/>
    <d v="2025-07-25T00:00:00"/>
    <x v="4"/>
    <n v="43384"/>
    <s v="UPI"/>
  </r>
  <r>
    <x v="151"/>
    <s v="Patient 152"/>
    <n v="77"/>
    <x v="0"/>
    <x v="2"/>
    <x v="2"/>
    <x v="131"/>
    <d v="2025-02-14T00:00:00"/>
    <x v="3"/>
    <n v="56061"/>
    <s v="Card"/>
  </r>
  <r>
    <x v="152"/>
    <s v="Patient 153"/>
    <n v="36"/>
    <x v="1"/>
    <x v="1"/>
    <x v="1"/>
    <x v="132"/>
    <d v="2025-09-28T00:00:00"/>
    <x v="8"/>
    <n v="25830"/>
    <s v="UPI"/>
  </r>
  <r>
    <x v="153"/>
    <s v="Patient 154"/>
    <n v="55"/>
    <x v="1"/>
    <x v="2"/>
    <x v="2"/>
    <x v="20"/>
    <d v="2025-11-09T00:00:00"/>
    <x v="2"/>
    <n v="40502"/>
    <s v="Cash"/>
  </r>
  <r>
    <x v="154"/>
    <s v="Patient 155"/>
    <n v="40"/>
    <x v="0"/>
    <x v="2"/>
    <x v="2"/>
    <x v="115"/>
    <d v="2025-07-14T00:00:00"/>
    <x v="7"/>
    <n v="11148"/>
    <s v="Card"/>
  </r>
  <r>
    <x v="155"/>
    <s v="Patient 156"/>
    <n v="59"/>
    <x v="1"/>
    <x v="1"/>
    <x v="1"/>
    <x v="133"/>
    <d v="2025-11-04T00:00:00"/>
    <x v="1"/>
    <n v="52290"/>
    <s v="Insurance"/>
  </r>
  <r>
    <x v="156"/>
    <s v="Patient 157"/>
    <n v="32"/>
    <x v="0"/>
    <x v="0"/>
    <x v="0"/>
    <x v="134"/>
    <d v="2025-07-15T00:00:00"/>
    <x v="4"/>
    <n v="33160"/>
    <s v="Cash"/>
  </r>
  <r>
    <x v="157"/>
    <s v="Patient 158"/>
    <n v="28"/>
    <x v="1"/>
    <x v="2"/>
    <x v="2"/>
    <x v="135"/>
    <d v="2025-10-16T00:00:00"/>
    <x v="7"/>
    <n v="34488"/>
    <s v="Card"/>
  </r>
  <r>
    <x v="158"/>
    <s v="Patient 159"/>
    <n v="62"/>
    <x v="0"/>
    <x v="5"/>
    <x v="5"/>
    <x v="136"/>
    <d v="2025-02-18T00:00:00"/>
    <x v="0"/>
    <n v="14460"/>
    <s v="Insurance"/>
  </r>
  <r>
    <x v="159"/>
    <s v="Patient 160"/>
    <n v="41"/>
    <x v="0"/>
    <x v="5"/>
    <x v="5"/>
    <x v="137"/>
    <d v="2025-09-24T00:00:00"/>
    <x v="6"/>
    <n v="22165"/>
    <s v="Card"/>
  </r>
  <r>
    <x v="160"/>
    <s v="Patient 161"/>
    <n v="36"/>
    <x v="1"/>
    <x v="2"/>
    <x v="2"/>
    <x v="98"/>
    <d v="2025-11-09T00:00:00"/>
    <x v="4"/>
    <n v="37688"/>
    <s v="Insurance"/>
  </r>
  <r>
    <x v="161"/>
    <s v="Patient 162"/>
    <n v="67"/>
    <x v="1"/>
    <x v="5"/>
    <x v="5"/>
    <x v="98"/>
    <d v="2025-11-11T00:00:00"/>
    <x v="1"/>
    <n v="71440"/>
    <s v="Card"/>
  </r>
  <r>
    <x v="162"/>
    <s v="Patient 163"/>
    <n v="40"/>
    <x v="0"/>
    <x v="3"/>
    <x v="3"/>
    <x v="33"/>
    <d v="2025-01-25T00:00:00"/>
    <x v="6"/>
    <n v="15065"/>
    <s v="UPI"/>
  </r>
  <r>
    <x v="163"/>
    <s v="Patient 164"/>
    <n v="25"/>
    <x v="0"/>
    <x v="2"/>
    <x v="2"/>
    <x v="138"/>
    <d v="2025-10-18T00:00:00"/>
    <x v="2"/>
    <n v="61341"/>
    <s v="UPI"/>
  </r>
  <r>
    <x v="164"/>
    <s v="Patient 165"/>
    <n v="40"/>
    <x v="0"/>
    <x v="3"/>
    <x v="3"/>
    <x v="138"/>
    <d v="2025-10-17T00:00:00"/>
    <x v="8"/>
    <n v="19428"/>
    <s v="Insurance"/>
  </r>
  <r>
    <x v="165"/>
    <s v="Patient 166"/>
    <n v="29"/>
    <x v="1"/>
    <x v="4"/>
    <x v="4"/>
    <x v="139"/>
    <d v="2025-08-14T00:00:00"/>
    <x v="8"/>
    <n v="34182"/>
    <s v="Cash"/>
  </r>
  <r>
    <x v="166"/>
    <s v="Patient 167"/>
    <n v="18"/>
    <x v="0"/>
    <x v="4"/>
    <x v="4"/>
    <x v="140"/>
    <d v="2025-08-30T00:00:00"/>
    <x v="1"/>
    <n v="74900"/>
    <s v="Card"/>
  </r>
  <r>
    <x v="167"/>
    <s v="Patient 168"/>
    <n v="49"/>
    <x v="1"/>
    <x v="4"/>
    <x v="4"/>
    <x v="141"/>
    <d v="2025-05-09T00:00:00"/>
    <x v="0"/>
    <n v="13566"/>
    <s v="UPI"/>
  </r>
  <r>
    <x v="168"/>
    <s v="Patient 169"/>
    <n v="22"/>
    <x v="1"/>
    <x v="4"/>
    <x v="4"/>
    <x v="61"/>
    <d v="2025-04-26T00:00:00"/>
    <x v="4"/>
    <n v="62032"/>
    <s v="UPI"/>
  </r>
  <r>
    <x v="169"/>
    <s v="Patient 170"/>
    <n v="69"/>
    <x v="1"/>
    <x v="5"/>
    <x v="5"/>
    <x v="142"/>
    <d v="2025-10-24T00:00:00"/>
    <x v="1"/>
    <n v="85980"/>
    <s v="Cash"/>
  </r>
  <r>
    <x v="170"/>
    <s v="Patient 171"/>
    <n v="37"/>
    <x v="0"/>
    <x v="1"/>
    <x v="1"/>
    <x v="143"/>
    <d v="2025-09-17T00:00:00"/>
    <x v="6"/>
    <n v="19660"/>
    <s v="Insurance"/>
  </r>
  <r>
    <x v="171"/>
    <s v="Patient 172"/>
    <n v="66"/>
    <x v="1"/>
    <x v="1"/>
    <x v="1"/>
    <x v="144"/>
    <d v="2025-09-17T00:00:00"/>
    <x v="7"/>
    <n v="27520"/>
    <s v="Card"/>
  </r>
  <r>
    <x v="172"/>
    <s v="Patient 173"/>
    <n v="28"/>
    <x v="0"/>
    <x v="1"/>
    <x v="1"/>
    <x v="124"/>
    <d v="2025-03-04T00:00:00"/>
    <x v="8"/>
    <n v="34242"/>
    <s v="Cash"/>
  </r>
  <r>
    <x v="173"/>
    <s v="Patient 174"/>
    <n v="25"/>
    <x v="0"/>
    <x v="3"/>
    <x v="3"/>
    <x v="93"/>
    <d v="2025-02-03T00:00:00"/>
    <x v="9"/>
    <n v="3674"/>
    <s v="Card"/>
  </r>
  <r>
    <x v="174"/>
    <s v="Patient 175"/>
    <n v="42"/>
    <x v="0"/>
    <x v="1"/>
    <x v="1"/>
    <x v="145"/>
    <d v="2025-03-15T00:00:00"/>
    <x v="8"/>
    <n v="40746"/>
    <s v="Card"/>
  </r>
  <r>
    <x v="175"/>
    <s v="Patient 176"/>
    <n v="31"/>
    <x v="1"/>
    <x v="4"/>
    <x v="4"/>
    <x v="146"/>
    <d v="2025-08-13T00:00:00"/>
    <x v="5"/>
    <n v="22080"/>
    <s v="Cash"/>
  </r>
  <r>
    <x v="176"/>
    <s v="Patient 177"/>
    <n v="45"/>
    <x v="0"/>
    <x v="3"/>
    <x v="3"/>
    <x v="27"/>
    <d v="2025-01-16T00:00:00"/>
    <x v="8"/>
    <n v="22824"/>
    <s v="Card"/>
  </r>
  <r>
    <x v="177"/>
    <s v="Patient 178"/>
    <n v="77"/>
    <x v="1"/>
    <x v="1"/>
    <x v="1"/>
    <x v="147"/>
    <d v="2025-11-30T00:00:00"/>
    <x v="1"/>
    <n v="65320"/>
    <s v="Card"/>
  </r>
  <r>
    <x v="178"/>
    <s v="Patient 179"/>
    <n v="35"/>
    <x v="1"/>
    <x v="0"/>
    <x v="0"/>
    <x v="96"/>
    <d v="2025-04-15T00:00:00"/>
    <x v="2"/>
    <n v="53123"/>
    <s v="Insurance"/>
  </r>
  <r>
    <x v="179"/>
    <s v="Patient 180"/>
    <n v="18"/>
    <x v="1"/>
    <x v="1"/>
    <x v="1"/>
    <x v="133"/>
    <d v="2025-11-03T00:00:00"/>
    <x v="3"/>
    <n v="77211"/>
    <s v="Cash"/>
  </r>
  <r>
    <x v="180"/>
    <s v="Patient 181"/>
    <n v="54"/>
    <x v="1"/>
    <x v="3"/>
    <x v="3"/>
    <x v="142"/>
    <d v="2025-10-21T00:00:00"/>
    <x v="2"/>
    <n v="31108"/>
    <s v="Insurance"/>
  </r>
  <r>
    <x v="181"/>
    <s v="Patient 182"/>
    <n v="79"/>
    <x v="0"/>
    <x v="1"/>
    <x v="1"/>
    <x v="148"/>
    <d v="2025-12-06T00:00:00"/>
    <x v="9"/>
    <n v="8696"/>
    <s v="Cash"/>
  </r>
  <r>
    <x v="182"/>
    <s v="Patient 183"/>
    <n v="43"/>
    <x v="0"/>
    <x v="5"/>
    <x v="5"/>
    <x v="149"/>
    <d v="2025-09-28T00:00:00"/>
    <x v="1"/>
    <n v="50210"/>
    <s v="UPI"/>
  </r>
  <r>
    <x v="183"/>
    <s v="Patient 184"/>
    <n v="79"/>
    <x v="0"/>
    <x v="4"/>
    <x v="4"/>
    <x v="13"/>
    <d v="2025-04-20T00:00:00"/>
    <x v="4"/>
    <n v="35832"/>
    <s v="UPI"/>
  </r>
  <r>
    <x v="184"/>
    <s v="Patient 185"/>
    <n v="19"/>
    <x v="0"/>
    <x v="0"/>
    <x v="0"/>
    <x v="150"/>
    <d v="2025-05-22T00:00:00"/>
    <x v="5"/>
    <n v="15876"/>
    <s v="Insurance"/>
  </r>
  <r>
    <x v="185"/>
    <s v="Patient 186"/>
    <n v="62"/>
    <x v="1"/>
    <x v="0"/>
    <x v="0"/>
    <x v="151"/>
    <d v="2025-04-07T00:00:00"/>
    <x v="8"/>
    <n v="18786"/>
    <s v="Cash"/>
  </r>
  <r>
    <x v="186"/>
    <s v="Patient 187"/>
    <n v="33"/>
    <x v="0"/>
    <x v="2"/>
    <x v="2"/>
    <x v="82"/>
    <d v="2025-12-11T00:00:00"/>
    <x v="3"/>
    <n v="44910"/>
    <s v="UPI"/>
  </r>
  <r>
    <x v="187"/>
    <s v="Patient 188"/>
    <n v="72"/>
    <x v="1"/>
    <x v="3"/>
    <x v="3"/>
    <x v="152"/>
    <d v="2025-12-29T00:00:00"/>
    <x v="2"/>
    <n v="48146"/>
    <s v="Cash"/>
  </r>
  <r>
    <x v="188"/>
    <s v="Patient 189"/>
    <n v="62"/>
    <x v="0"/>
    <x v="4"/>
    <x v="4"/>
    <x v="116"/>
    <d v="2025-08-06T00:00:00"/>
    <x v="9"/>
    <n v="7196"/>
    <s v="Insurance"/>
  </r>
  <r>
    <x v="189"/>
    <s v="Patient 190"/>
    <n v="20"/>
    <x v="1"/>
    <x v="0"/>
    <x v="0"/>
    <x v="153"/>
    <d v="2025-10-06T00:00:00"/>
    <x v="4"/>
    <n v="71560"/>
    <s v="UPI"/>
  </r>
  <r>
    <x v="190"/>
    <s v="Patient 191"/>
    <n v="33"/>
    <x v="0"/>
    <x v="2"/>
    <x v="2"/>
    <x v="154"/>
    <d v="2025-03-13T00:00:00"/>
    <x v="3"/>
    <n v="76329"/>
    <s v="Insurance"/>
  </r>
  <r>
    <x v="191"/>
    <s v="Patient 192"/>
    <n v="19"/>
    <x v="1"/>
    <x v="4"/>
    <x v="4"/>
    <x v="44"/>
    <d v="2025-04-16T00:00:00"/>
    <x v="3"/>
    <n v="30798"/>
    <s v="Card"/>
  </r>
  <r>
    <x v="192"/>
    <s v="Patient 193"/>
    <n v="63"/>
    <x v="1"/>
    <x v="4"/>
    <x v="4"/>
    <x v="148"/>
    <d v="2025-12-06T00:00:00"/>
    <x v="9"/>
    <n v="6414"/>
    <s v="UPI"/>
  </r>
  <r>
    <x v="193"/>
    <s v="Patient 194"/>
    <n v="27"/>
    <x v="0"/>
    <x v="3"/>
    <x v="3"/>
    <x v="135"/>
    <d v="2025-10-13T00:00:00"/>
    <x v="9"/>
    <n v="6873"/>
    <s v="Cash"/>
  </r>
  <r>
    <x v="194"/>
    <s v="Patient 195"/>
    <n v="78"/>
    <x v="0"/>
    <x v="2"/>
    <x v="2"/>
    <x v="61"/>
    <d v="2025-04-28T00:00:00"/>
    <x v="1"/>
    <n v="56380"/>
    <s v="Cash"/>
  </r>
  <r>
    <x v="195"/>
    <s v="Patient 196"/>
    <n v="46"/>
    <x v="1"/>
    <x v="5"/>
    <x v="5"/>
    <x v="135"/>
    <d v="2025-10-21T00:00:00"/>
    <x v="3"/>
    <n v="33021"/>
    <s v="UPI"/>
  </r>
  <r>
    <x v="196"/>
    <s v="Patient 197"/>
    <n v="61"/>
    <x v="0"/>
    <x v="5"/>
    <x v="5"/>
    <x v="44"/>
    <d v="2025-04-15T00:00:00"/>
    <x v="4"/>
    <n v="33680"/>
    <s v="UPI"/>
  </r>
  <r>
    <x v="197"/>
    <s v="Patient 198"/>
    <n v="56"/>
    <x v="0"/>
    <x v="4"/>
    <x v="4"/>
    <x v="155"/>
    <d v="2025-09-08T00:00:00"/>
    <x v="3"/>
    <n v="72738"/>
    <s v="Insurance"/>
  </r>
  <r>
    <x v="198"/>
    <s v="Patient 199"/>
    <n v="21"/>
    <x v="1"/>
    <x v="2"/>
    <x v="2"/>
    <x v="156"/>
    <d v="2025-02-05T00:00:00"/>
    <x v="0"/>
    <n v="6482"/>
    <s v="Insurance"/>
  </r>
  <r>
    <x v="199"/>
    <s v="Patient 200"/>
    <n v="41"/>
    <x v="1"/>
    <x v="0"/>
    <x v="0"/>
    <x v="157"/>
    <d v="2025-09-21T00:00:00"/>
    <x v="6"/>
    <n v="43750"/>
    <s v="Car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Patient 1"/>
    <x v="0"/>
    <s v="Male"/>
    <s v="Cardiology"/>
    <x v="0"/>
    <d v="2025-04-22T00:00:00"/>
    <d v="2025-04-24T00:00:00"/>
    <n v="2"/>
    <n v="11900"/>
    <s v="Insurance"/>
    <x v="0"/>
  </r>
  <r>
    <x v="1"/>
    <s v="Patient 2"/>
    <x v="1"/>
    <s v="Female"/>
    <s v="Cardiology"/>
    <x v="0"/>
    <d v="2025-01-05T00:00:00"/>
    <d v="2025-01-15T00:00:00"/>
    <n v="10"/>
    <n v="48180"/>
    <s v="Insurance"/>
    <x v="1"/>
  </r>
  <r>
    <x v="2"/>
    <s v="Patient 3"/>
    <x v="2"/>
    <s v="Male"/>
    <s v="Neurology"/>
    <x v="1"/>
    <d v="2025-12-10T00:00:00"/>
    <d v="2025-12-17T00:00:00"/>
    <n v="7"/>
    <n v="60438"/>
    <s v="Cash"/>
    <x v="2"/>
  </r>
  <r>
    <x v="3"/>
    <s v="Patient 4"/>
    <x v="3"/>
    <s v="Female"/>
    <s v="General Medicine"/>
    <x v="2"/>
    <d v="2025-01-06T00:00:00"/>
    <d v="2025-01-16T00:00:00"/>
    <n v="10"/>
    <n v="54980"/>
    <s v="Card"/>
    <x v="1"/>
  </r>
  <r>
    <x v="4"/>
    <s v="Patient 5"/>
    <x v="4"/>
    <s v="Male"/>
    <s v="Pediatrics"/>
    <x v="3"/>
    <d v="2025-07-16T00:00:00"/>
    <d v="2025-07-25T00:00:00"/>
    <n v="9"/>
    <n v="30096"/>
    <s v="UPI"/>
    <x v="3"/>
  </r>
  <r>
    <x v="5"/>
    <s v="Patient 6"/>
    <x v="5"/>
    <s v="Female"/>
    <s v="Neurology"/>
    <x v="1"/>
    <d v="2025-08-07T00:00:00"/>
    <d v="2025-08-15T00:00:00"/>
    <n v="8"/>
    <n v="37160"/>
    <s v="UPI"/>
    <x v="4"/>
  </r>
  <r>
    <x v="6"/>
    <s v="Patient 7"/>
    <x v="3"/>
    <s v="Female"/>
    <s v="Gynecology"/>
    <x v="4"/>
    <d v="2025-03-02T00:00:00"/>
    <d v="2025-03-05T00:00:00"/>
    <n v="3"/>
    <n v="25272"/>
    <s v="UPI"/>
    <x v="5"/>
  </r>
  <r>
    <x v="7"/>
    <s v="Patient 8"/>
    <x v="6"/>
    <s v="Male"/>
    <s v="Gynecology"/>
    <x v="4"/>
    <d v="2025-04-10T00:00:00"/>
    <d v="2025-04-17T00:00:00"/>
    <n v="7"/>
    <n v="46466"/>
    <s v="Insurance"/>
    <x v="0"/>
  </r>
  <r>
    <x v="8"/>
    <s v="Patient 9"/>
    <x v="7"/>
    <s v="Female"/>
    <s v="Pediatrics"/>
    <x v="3"/>
    <d v="2025-04-24T00:00:00"/>
    <d v="2025-04-27T00:00:00"/>
    <n v="3"/>
    <n v="15468"/>
    <s v="Insurance"/>
    <x v="0"/>
  </r>
  <r>
    <x v="9"/>
    <s v="Patient 10"/>
    <x v="8"/>
    <s v="Female"/>
    <s v="Orthopedics"/>
    <x v="5"/>
    <d v="2025-10-06T00:00:00"/>
    <d v="2025-10-11T00:00:00"/>
    <n v="5"/>
    <n v="22740"/>
    <s v="Insurance"/>
    <x v="6"/>
  </r>
  <r>
    <x v="10"/>
    <s v="Patient 11"/>
    <x v="1"/>
    <s v="Male"/>
    <s v="Orthopedics"/>
    <x v="5"/>
    <d v="2025-10-26T00:00:00"/>
    <d v="2025-10-30T00:00:00"/>
    <n v="4"/>
    <n v="30044"/>
    <s v="Insurance"/>
    <x v="6"/>
  </r>
  <r>
    <x v="11"/>
    <s v="Patient 12"/>
    <x v="9"/>
    <s v="Female"/>
    <s v="Neurology"/>
    <x v="1"/>
    <d v="2025-04-30T00:00:00"/>
    <d v="2025-05-06T00:00:00"/>
    <n v="6"/>
    <n v="20136"/>
    <s v="Card"/>
    <x v="0"/>
  </r>
  <r>
    <x v="12"/>
    <s v="Patient 13"/>
    <x v="10"/>
    <s v="Female"/>
    <s v="Cardiology"/>
    <x v="0"/>
    <d v="2025-05-03T00:00:00"/>
    <d v="2025-05-08T00:00:00"/>
    <n v="5"/>
    <n v="21220"/>
    <s v="UPI"/>
    <x v="7"/>
  </r>
  <r>
    <x v="13"/>
    <s v="Patient 14"/>
    <x v="11"/>
    <s v="Female"/>
    <s v="Neurology"/>
    <x v="1"/>
    <d v="2025-04-12T00:00:00"/>
    <d v="2025-04-17T00:00:00"/>
    <n v="5"/>
    <n v="24205"/>
    <s v="Insurance"/>
    <x v="0"/>
  </r>
  <r>
    <x v="14"/>
    <s v="Patient 15"/>
    <x v="12"/>
    <s v="Female"/>
    <s v="General Medicine"/>
    <x v="2"/>
    <d v="2025-06-14T00:00:00"/>
    <d v="2025-06-16T00:00:00"/>
    <n v="2"/>
    <n v="15082"/>
    <s v="Card"/>
    <x v="8"/>
  </r>
  <r>
    <x v="15"/>
    <s v="Patient 16"/>
    <x v="13"/>
    <s v="Female"/>
    <s v="Neurology"/>
    <x v="1"/>
    <d v="2025-11-14T00:00:00"/>
    <d v="2025-11-21T00:00:00"/>
    <n v="7"/>
    <n v="42364"/>
    <s v="UPI"/>
    <x v="9"/>
  </r>
  <r>
    <x v="16"/>
    <s v="Patient 17"/>
    <x v="14"/>
    <s v="Male"/>
    <s v="Neurology"/>
    <x v="1"/>
    <d v="2025-03-29T00:00:00"/>
    <d v="2025-04-07T00:00:00"/>
    <n v="9"/>
    <n v="25470"/>
    <s v="Card"/>
    <x v="5"/>
  </r>
  <r>
    <x v="17"/>
    <s v="Patient 18"/>
    <x v="15"/>
    <s v="Female"/>
    <s v="Orthopedics"/>
    <x v="5"/>
    <d v="2025-11-09T00:00:00"/>
    <d v="2025-11-13T00:00:00"/>
    <n v="4"/>
    <n v="26828"/>
    <s v="UPI"/>
    <x v="9"/>
  </r>
  <r>
    <x v="18"/>
    <s v="Patient 19"/>
    <x v="13"/>
    <s v="Male"/>
    <s v="Neurology"/>
    <x v="1"/>
    <d v="2025-11-12T00:00:00"/>
    <d v="2025-11-20T00:00:00"/>
    <n v="8"/>
    <n v="40616"/>
    <s v="Insurance"/>
    <x v="9"/>
  </r>
  <r>
    <x v="19"/>
    <s v="Patient 20"/>
    <x v="15"/>
    <s v="Male"/>
    <s v="Cardiology"/>
    <x v="0"/>
    <d v="2025-11-22T00:00:00"/>
    <d v="2025-12-02T00:00:00"/>
    <n v="10"/>
    <n v="72650"/>
    <s v="Card"/>
    <x v="9"/>
  </r>
  <r>
    <x v="20"/>
    <s v="Patient 21"/>
    <x v="16"/>
    <s v="Female"/>
    <s v="General Medicine"/>
    <x v="2"/>
    <d v="2025-11-02T00:00:00"/>
    <d v="2025-11-03T00:00:00"/>
    <n v="1"/>
    <n v="2691"/>
    <s v="Insurance"/>
    <x v="9"/>
  </r>
  <r>
    <x v="21"/>
    <s v="Patient 22"/>
    <x v="11"/>
    <s v="Female"/>
    <s v="Cardiology"/>
    <x v="0"/>
    <d v="2025-09-23T00:00:00"/>
    <d v="2025-09-30T00:00:00"/>
    <n v="7"/>
    <n v="20237"/>
    <s v="Cash"/>
    <x v="10"/>
  </r>
  <r>
    <x v="22"/>
    <s v="Patient 23"/>
    <x v="7"/>
    <s v="Male"/>
    <s v="Pediatrics"/>
    <x v="3"/>
    <d v="2025-07-25T00:00:00"/>
    <d v="2025-08-04T00:00:00"/>
    <n v="10"/>
    <n v="50100"/>
    <s v="Card"/>
    <x v="3"/>
  </r>
  <r>
    <x v="23"/>
    <s v="Patient 24"/>
    <x v="17"/>
    <s v="Male"/>
    <s v="General Medicine"/>
    <x v="2"/>
    <d v="2025-12-01T00:00:00"/>
    <d v="2025-12-03T00:00:00"/>
    <n v="2"/>
    <n v="5932"/>
    <s v="UPI"/>
    <x v="2"/>
  </r>
  <r>
    <x v="24"/>
    <s v="Patient 25"/>
    <x v="18"/>
    <s v="Male"/>
    <s v="Orthopedics"/>
    <x v="5"/>
    <d v="2025-10-19T00:00:00"/>
    <d v="2025-10-28T00:00:00"/>
    <n v="9"/>
    <n v="55647"/>
    <s v="Cash"/>
    <x v="6"/>
  </r>
  <r>
    <x v="25"/>
    <s v="Patient 26"/>
    <x v="19"/>
    <s v="Male"/>
    <s v="Pediatrics"/>
    <x v="3"/>
    <d v="2025-02-01T00:00:00"/>
    <d v="2025-02-02T00:00:00"/>
    <n v="1"/>
    <n v="6150"/>
    <s v="Cash"/>
    <x v="11"/>
  </r>
  <r>
    <x v="26"/>
    <s v="Patient 27"/>
    <x v="7"/>
    <s v="Female"/>
    <s v="Orthopedics"/>
    <x v="5"/>
    <d v="2025-03-29T00:00:00"/>
    <d v="2025-04-07T00:00:00"/>
    <n v="9"/>
    <n v="40338"/>
    <s v="Card"/>
    <x v="5"/>
  </r>
  <r>
    <x v="27"/>
    <s v="Patient 28"/>
    <x v="20"/>
    <s v="Female"/>
    <s v="General Medicine"/>
    <x v="2"/>
    <d v="2025-10-17T00:00:00"/>
    <d v="2025-10-26T00:00:00"/>
    <n v="9"/>
    <n v="65232"/>
    <s v="Card"/>
    <x v="6"/>
  </r>
  <r>
    <x v="28"/>
    <s v="Patient 29"/>
    <x v="21"/>
    <s v="Female"/>
    <s v="Pediatrics"/>
    <x v="3"/>
    <d v="2025-01-10T00:00:00"/>
    <d v="2025-01-18T00:00:00"/>
    <n v="8"/>
    <n v="61880"/>
    <s v="Insurance"/>
    <x v="1"/>
  </r>
  <r>
    <x v="29"/>
    <s v="Patient 30"/>
    <x v="22"/>
    <s v="Male"/>
    <s v="Pediatrics"/>
    <x v="3"/>
    <d v="2025-04-14T00:00:00"/>
    <d v="2025-04-20T00:00:00"/>
    <n v="6"/>
    <n v="45666"/>
    <s v="Card"/>
    <x v="0"/>
  </r>
  <r>
    <x v="30"/>
    <s v="Patient 31"/>
    <x v="23"/>
    <s v="Female"/>
    <s v="Pediatrics"/>
    <x v="3"/>
    <d v="2025-08-09T00:00:00"/>
    <d v="2025-08-18T00:00:00"/>
    <n v="9"/>
    <n v="46008"/>
    <s v="Insurance"/>
    <x v="4"/>
  </r>
  <r>
    <x v="31"/>
    <s v="Patient 32"/>
    <x v="13"/>
    <s v="Female"/>
    <s v="General Medicine"/>
    <x v="2"/>
    <d v="2025-09-09T00:00:00"/>
    <d v="2025-09-12T00:00:00"/>
    <n v="3"/>
    <n v="26334"/>
    <s v="Cash"/>
    <x v="10"/>
  </r>
  <r>
    <x v="32"/>
    <s v="Patient 33"/>
    <x v="24"/>
    <s v="Male"/>
    <s v="General Medicine"/>
    <x v="2"/>
    <d v="2025-02-19T00:00:00"/>
    <d v="2025-02-25T00:00:00"/>
    <n v="6"/>
    <n v="44832"/>
    <s v="Card"/>
    <x v="11"/>
  </r>
  <r>
    <x v="33"/>
    <s v="Patient 34"/>
    <x v="20"/>
    <s v="Female"/>
    <s v="Neurology"/>
    <x v="1"/>
    <d v="2025-10-29T00:00:00"/>
    <d v="2025-11-03T00:00:00"/>
    <n v="5"/>
    <n v="28505"/>
    <s v="Cash"/>
    <x v="6"/>
  </r>
  <r>
    <x v="34"/>
    <s v="Patient 35"/>
    <x v="1"/>
    <s v="Male"/>
    <s v="Orthopedics"/>
    <x v="5"/>
    <d v="2025-01-20T00:00:00"/>
    <d v="2025-01-25T00:00:00"/>
    <n v="5"/>
    <n v="33345"/>
    <s v="UPI"/>
    <x v="1"/>
  </r>
  <r>
    <x v="35"/>
    <s v="Patient 36"/>
    <x v="25"/>
    <s v="Female"/>
    <s v="General Medicine"/>
    <x v="2"/>
    <d v="2025-01-03T00:00:00"/>
    <d v="2025-01-09T00:00:00"/>
    <n v="6"/>
    <n v="29484"/>
    <s v="Cash"/>
    <x v="1"/>
  </r>
  <r>
    <x v="36"/>
    <s v="Patient 37"/>
    <x v="26"/>
    <s v="Female"/>
    <s v="Pediatrics"/>
    <x v="3"/>
    <d v="2025-10-06T00:00:00"/>
    <d v="2025-10-15T00:00:00"/>
    <n v="9"/>
    <n v="47619"/>
    <s v="Insurance"/>
    <x v="6"/>
  </r>
  <r>
    <x v="37"/>
    <s v="Patient 38"/>
    <x v="27"/>
    <s v="Female"/>
    <s v="Neurology"/>
    <x v="1"/>
    <d v="2025-05-25T00:00:00"/>
    <d v="2025-05-28T00:00:00"/>
    <n v="3"/>
    <n v="13368"/>
    <s v="Card"/>
    <x v="7"/>
  </r>
  <r>
    <x v="38"/>
    <s v="Patient 39"/>
    <x v="28"/>
    <s v="Female"/>
    <s v="Orthopedics"/>
    <x v="5"/>
    <d v="2025-07-26T00:00:00"/>
    <d v="2025-07-28T00:00:00"/>
    <n v="2"/>
    <n v="9540"/>
    <s v="Insurance"/>
    <x v="3"/>
  </r>
  <r>
    <x v="39"/>
    <s v="Patient 40"/>
    <x v="29"/>
    <s v="Female"/>
    <s v="Gynecology"/>
    <x v="4"/>
    <d v="2025-12-16T00:00:00"/>
    <d v="2025-12-20T00:00:00"/>
    <n v="4"/>
    <n v="11508"/>
    <s v="Cash"/>
    <x v="2"/>
  </r>
  <r>
    <x v="40"/>
    <s v="Patient 41"/>
    <x v="30"/>
    <s v="Male"/>
    <s v="Pediatrics"/>
    <x v="3"/>
    <d v="2025-05-03T00:00:00"/>
    <d v="2025-05-12T00:00:00"/>
    <n v="9"/>
    <n v="74826"/>
    <s v="UPI"/>
    <x v="7"/>
  </r>
  <r>
    <x v="41"/>
    <s v="Patient 42"/>
    <x v="25"/>
    <s v="Male"/>
    <s v="Cardiology"/>
    <x v="0"/>
    <d v="2025-06-27T00:00:00"/>
    <d v="2025-07-03T00:00:00"/>
    <n v="6"/>
    <n v="27246"/>
    <s v="Cash"/>
    <x v="8"/>
  </r>
  <r>
    <x v="42"/>
    <s v="Patient 43"/>
    <x v="31"/>
    <s v="Female"/>
    <s v="Cardiology"/>
    <x v="0"/>
    <d v="2025-12-09T00:00:00"/>
    <d v="2025-12-19T00:00:00"/>
    <n v="10"/>
    <n v="51640"/>
    <s v="Cash"/>
    <x v="2"/>
  </r>
  <r>
    <x v="43"/>
    <s v="Patient 44"/>
    <x v="9"/>
    <s v="Male"/>
    <s v="Neurology"/>
    <x v="1"/>
    <d v="2025-07-03T00:00:00"/>
    <d v="2025-07-11T00:00:00"/>
    <n v="8"/>
    <n v="32520"/>
    <s v="Cash"/>
    <x v="3"/>
  </r>
  <r>
    <x v="44"/>
    <s v="Patient 45"/>
    <x v="32"/>
    <s v="Female"/>
    <s v="Neurology"/>
    <x v="1"/>
    <d v="2025-12-29T00:00:00"/>
    <d v="2025-12-31T00:00:00"/>
    <n v="2"/>
    <n v="11980"/>
    <s v="Cash"/>
    <x v="2"/>
  </r>
  <r>
    <x v="45"/>
    <s v="Patient 46"/>
    <x v="33"/>
    <s v="Female"/>
    <s v="Orthopedics"/>
    <x v="5"/>
    <d v="2025-07-09T00:00:00"/>
    <d v="2025-07-10T00:00:00"/>
    <n v="1"/>
    <n v="5757"/>
    <s v="UPI"/>
    <x v="3"/>
  </r>
  <r>
    <x v="46"/>
    <s v="Patient 47"/>
    <x v="9"/>
    <s v="Male"/>
    <s v="Orthopedics"/>
    <x v="5"/>
    <d v="2025-06-10T00:00:00"/>
    <d v="2025-06-18T00:00:00"/>
    <n v="8"/>
    <n v="23680"/>
    <s v="UPI"/>
    <x v="8"/>
  </r>
  <r>
    <x v="47"/>
    <s v="Patient 48"/>
    <x v="10"/>
    <s v="Male"/>
    <s v="Pediatrics"/>
    <x v="3"/>
    <d v="2025-04-07T00:00:00"/>
    <d v="2025-04-11T00:00:00"/>
    <n v="4"/>
    <n v="33696"/>
    <s v="UPI"/>
    <x v="0"/>
  </r>
  <r>
    <x v="48"/>
    <s v="Patient 49"/>
    <x v="23"/>
    <s v="Male"/>
    <s v="General Medicine"/>
    <x v="2"/>
    <d v="2025-06-26T00:00:00"/>
    <d v="2025-06-28T00:00:00"/>
    <n v="2"/>
    <n v="8812"/>
    <s v="Insurance"/>
    <x v="8"/>
  </r>
  <r>
    <x v="49"/>
    <s v="Patient 50"/>
    <x v="20"/>
    <s v="Female"/>
    <s v="Orthopedics"/>
    <x v="5"/>
    <d v="2025-06-04T00:00:00"/>
    <d v="2025-06-09T00:00:00"/>
    <n v="5"/>
    <n v="33975"/>
    <s v="Insurance"/>
    <x v="8"/>
  </r>
  <r>
    <x v="50"/>
    <s v="Patient 51"/>
    <x v="34"/>
    <s v="Male"/>
    <s v="Cardiology"/>
    <x v="0"/>
    <d v="2025-05-24T00:00:00"/>
    <d v="2025-05-27T00:00:00"/>
    <n v="3"/>
    <n v="15285"/>
    <s v="Insurance"/>
    <x v="7"/>
  </r>
  <r>
    <x v="51"/>
    <s v="Patient 52"/>
    <x v="8"/>
    <s v="Female"/>
    <s v="Gynecology"/>
    <x v="4"/>
    <d v="2025-05-02T00:00:00"/>
    <d v="2025-05-11T00:00:00"/>
    <n v="9"/>
    <n v="38655"/>
    <s v="Cash"/>
    <x v="7"/>
  </r>
  <r>
    <x v="52"/>
    <s v="Patient 53"/>
    <x v="4"/>
    <s v="Male"/>
    <s v="Neurology"/>
    <x v="1"/>
    <d v="2025-10-30T00:00:00"/>
    <d v="2025-11-05T00:00:00"/>
    <n v="6"/>
    <n v="43260"/>
    <s v="Insurance"/>
    <x v="6"/>
  </r>
  <r>
    <x v="53"/>
    <s v="Patient 54"/>
    <x v="35"/>
    <s v="Male"/>
    <s v="Pediatrics"/>
    <x v="3"/>
    <d v="2025-11-28T00:00:00"/>
    <d v="2025-11-30T00:00:00"/>
    <n v="2"/>
    <n v="17826"/>
    <s v="Insurance"/>
    <x v="9"/>
  </r>
  <r>
    <x v="54"/>
    <s v="Patient 55"/>
    <x v="36"/>
    <s v="Female"/>
    <s v="General Medicine"/>
    <x v="2"/>
    <d v="2025-02-24T00:00:00"/>
    <d v="2025-02-28T00:00:00"/>
    <n v="4"/>
    <n v="11932"/>
    <s v="UPI"/>
    <x v="11"/>
  </r>
  <r>
    <x v="55"/>
    <s v="Patient 56"/>
    <x v="11"/>
    <s v="Female"/>
    <s v="Pediatrics"/>
    <x v="3"/>
    <d v="2025-10-08T00:00:00"/>
    <d v="2025-10-11T00:00:00"/>
    <n v="3"/>
    <n v="20472"/>
    <s v="UPI"/>
    <x v="6"/>
  </r>
  <r>
    <x v="56"/>
    <s v="Patient 57"/>
    <x v="37"/>
    <s v="Male"/>
    <s v="Neurology"/>
    <x v="1"/>
    <d v="2025-02-12T00:00:00"/>
    <d v="2025-02-15T00:00:00"/>
    <n v="3"/>
    <n v="13650"/>
    <s v="Insurance"/>
    <x v="11"/>
  </r>
  <r>
    <x v="57"/>
    <s v="Patient 58"/>
    <x v="38"/>
    <s v="Male"/>
    <s v="Gynecology"/>
    <x v="4"/>
    <d v="2025-09-11T00:00:00"/>
    <d v="2025-09-20T00:00:00"/>
    <n v="9"/>
    <n v="42597"/>
    <s v="Insurance"/>
    <x v="10"/>
  </r>
  <r>
    <x v="58"/>
    <s v="Patient 59"/>
    <x v="17"/>
    <s v="Male"/>
    <s v="Orthopedics"/>
    <x v="5"/>
    <d v="2025-10-28T00:00:00"/>
    <d v="2025-11-07T00:00:00"/>
    <n v="10"/>
    <n v="46690"/>
    <s v="UPI"/>
    <x v="6"/>
  </r>
  <r>
    <x v="59"/>
    <s v="Patient 60"/>
    <x v="38"/>
    <s v="Female"/>
    <s v="Cardiology"/>
    <x v="0"/>
    <d v="2025-04-20T00:00:00"/>
    <d v="2025-04-25T00:00:00"/>
    <n v="5"/>
    <n v="22205"/>
    <s v="Insurance"/>
    <x v="0"/>
  </r>
  <r>
    <x v="60"/>
    <s v="Patient 61"/>
    <x v="24"/>
    <s v="Female"/>
    <s v="Gynecology"/>
    <x v="4"/>
    <d v="2025-11-03T00:00:00"/>
    <d v="2025-11-08T00:00:00"/>
    <n v="5"/>
    <n v="28065"/>
    <s v="Cash"/>
    <x v="9"/>
  </r>
  <r>
    <x v="61"/>
    <s v="Patient 62"/>
    <x v="27"/>
    <s v="Male"/>
    <s v="Gynecology"/>
    <x v="4"/>
    <d v="2025-01-21T00:00:00"/>
    <d v="2025-01-29T00:00:00"/>
    <n v="8"/>
    <n v="66448"/>
    <s v="Card"/>
    <x v="1"/>
  </r>
  <r>
    <x v="62"/>
    <s v="Patient 63"/>
    <x v="39"/>
    <s v="Male"/>
    <s v="Neurology"/>
    <x v="1"/>
    <d v="2025-08-14T00:00:00"/>
    <d v="2025-08-16T00:00:00"/>
    <n v="2"/>
    <n v="11308"/>
    <s v="UPI"/>
    <x v="4"/>
  </r>
  <r>
    <x v="63"/>
    <s v="Patient 64"/>
    <x v="30"/>
    <s v="Female"/>
    <s v="General Medicine"/>
    <x v="2"/>
    <d v="2025-02-10T00:00:00"/>
    <d v="2025-02-20T00:00:00"/>
    <n v="10"/>
    <n v="87550"/>
    <s v="Card"/>
    <x v="11"/>
  </r>
  <r>
    <x v="64"/>
    <s v="Patient 65"/>
    <x v="2"/>
    <s v="Female"/>
    <s v="Gynecology"/>
    <x v="4"/>
    <d v="2025-04-18T00:00:00"/>
    <d v="2025-04-24T00:00:00"/>
    <n v="6"/>
    <n v="38988"/>
    <s v="Cash"/>
    <x v="0"/>
  </r>
  <r>
    <x v="65"/>
    <s v="Patient 66"/>
    <x v="29"/>
    <s v="Male"/>
    <s v="Neurology"/>
    <x v="1"/>
    <d v="2025-05-10T00:00:00"/>
    <d v="2025-05-19T00:00:00"/>
    <n v="9"/>
    <n v="49770"/>
    <s v="Cash"/>
    <x v="7"/>
  </r>
  <r>
    <x v="66"/>
    <s v="Patient 67"/>
    <x v="38"/>
    <s v="Female"/>
    <s v="General Medicine"/>
    <x v="2"/>
    <d v="2025-02-25T00:00:00"/>
    <d v="2025-03-07T00:00:00"/>
    <n v="10"/>
    <n v="88020"/>
    <s v="UPI"/>
    <x v="11"/>
  </r>
  <r>
    <x v="67"/>
    <s v="Patient 68"/>
    <x v="11"/>
    <s v="Female"/>
    <s v="Gynecology"/>
    <x v="4"/>
    <d v="2025-06-24T00:00:00"/>
    <d v="2025-07-02T00:00:00"/>
    <n v="8"/>
    <n v="26552"/>
    <s v="Cash"/>
    <x v="8"/>
  </r>
  <r>
    <x v="68"/>
    <s v="Patient 69"/>
    <x v="40"/>
    <s v="Female"/>
    <s v="Orthopedics"/>
    <x v="5"/>
    <d v="2025-08-02T00:00:00"/>
    <d v="2025-08-08T00:00:00"/>
    <n v="6"/>
    <n v="53748"/>
    <s v="Card"/>
    <x v="4"/>
  </r>
  <r>
    <x v="69"/>
    <s v="Patient 70"/>
    <x v="41"/>
    <s v="Male"/>
    <s v="Pediatrics"/>
    <x v="3"/>
    <d v="2025-11-25T00:00:00"/>
    <d v="2025-12-03T00:00:00"/>
    <n v="8"/>
    <n v="56640"/>
    <s v="UPI"/>
    <x v="9"/>
  </r>
  <r>
    <x v="70"/>
    <s v="Patient 71"/>
    <x v="42"/>
    <s v="Male"/>
    <s v="Cardiology"/>
    <x v="0"/>
    <d v="2025-06-06T00:00:00"/>
    <d v="2025-06-12T00:00:00"/>
    <n v="6"/>
    <n v="25638"/>
    <s v="Insurance"/>
    <x v="8"/>
  </r>
  <r>
    <x v="71"/>
    <s v="Patient 72"/>
    <x v="43"/>
    <s v="Male"/>
    <s v="Orthopedics"/>
    <x v="5"/>
    <d v="2025-11-24T00:00:00"/>
    <d v="2025-11-30T00:00:00"/>
    <n v="6"/>
    <n v="53394"/>
    <s v="UPI"/>
    <x v="9"/>
  </r>
  <r>
    <x v="72"/>
    <s v="Patient 73"/>
    <x v="30"/>
    <s v="Male"/>
    <s v="Orthopedics"/>
    <x v="5"/>
    <d v="2025-07-30T00:00:00"/>
    <d v="2025-07-31T00:00:00"/>
    <n v="1"/>
    <n v="5515"/>
    <s v="Cash"/>
    <x v="3"/>
  </r>
  <r>
    <x v="73"/>
    <s v="Patient 74"/>
    <x v="32"/>
    <s v="Female"/>
    <s v="Cardiology"/>
    <x v="0"/>
    <d v="2025-07-02T00:00:00"/>
    <d v="2025-07-10T00:00:00"/>
    <n v="8"/>
    <n v="35368"/>
    <s v="UPI"/>
    <x v="3"/>
  </r>
  <r>
    <x v="74"/>
    <s v="Patient 75"/>
    <x v="22"/>
    <s v="Male"/>
    <s v="Pediatrics"/>
    <x v="3"/>
    <d v="2025-01-25T00:00:00"/>
    <d v="2025-01-31T00:00:00"/>
    <n v="6"/>
    <n v="46770"/>
    <s v="Insurance"/>
    <x v="1"/>
  </r>
  <r>
    <x v="75"/>
    <s v="Patient 76"/>
    <x v="19"/>
    <s v="Male"/>
    <s v="Neurology"/>
    <x v="1"/>
    <d v="2025-06-10T00:00:00"/>
    <d v="2025-06-16T00:00:00"/>
    <n v="6"/>
    <n v="16614"/>
    <s v="Card"/>
    <x v="8"/>
  </r>
  <r>
    <x v="76"/>
    <s v="Patient 77"/>
    <x v="42"/>
    <s v="Female"/>
    <s v="Cardiology"/>
    <x v="0"/>
    <d v="2025-10-13T00:00:00"/>
    <d v="2025-10-17T00:00:00"/>
    <n v="4"/>
    <n v="28688"/>
    <s v="Cash"/>
    <x v="6"/>
  </r>
  <r>
    <x v="77"/>
    <s v="Patient 78"/>
    <x v="1"/>
    <s v="Female"/>
    <s v="Orthopedics"/>
    <x v="5"/>
    <d v="2025-03-28T00:00:00"/>
    <d v="2025-04-01T00:00:00"/>
    <n v="4"/>
    <n v="16436"/>
    <s v="Insurance"/>
    <x v="5"/>
  </r>
  <r>
    <x v="78"/>
    <s v="Patient 79"/>
    <x v="33"/>
    <s v="Male"/>
    <s v="General Medicine"/>
    <x v="2"/>
    <d v="2025-10-13T00:00:00"/>
    <d v="2025-10-18T00:00:00"/>
    <n v="5"/>
    <n v="36700"/>
    <s v="Insurance"/>
    <x v="6"/>
  </r>
  <r>
    <x v="79"/>
    <s v="Patient 80"/>
    <x v="15"/>
    <s v="Male"/>
    <s v="Neurology"/>
    <x v="1"/>
    <d v="2025-07-24T00:00:00"/>
    <d v="2025-07-31T00:00:00"/>
    <n v="7"/>
    <n v="37849"/>
    <s v="Card"/>
    <x v="3"/>
  </r>
  <r>
    <x v="80"/>
    <s v="Patient 81"/>
    <x v="12"/>
    <s v="Female"/>
    <s v="Neurology"/>
    <x v="1"/>
    <d v="2025-01-30T00:00:00"/>
    <d v="2025-01-31T00:00:00"/>
    <n v="1"/>
    <n v="3891"/>
    <s v="Card"/>
    <x v="1"/>
  </r>
  <r>
    <x v="81"/>
    <s v="Patient 82"/>
    <x v="44"/>
    <s v="Male"/>
    <s v="Neurology"/>
    <x v="1"/>
    <d v="2025-10-10T00:00:00"/>
    <d v="2025-10-18T00:00:00"/>
    <n v="8"/>
    <n v="55744"/>
    <s v="Cash"/>
    <x v="6"/>
  </r>
  <r>
    <x v="82"/>
    <s v="Patient 83"/>
    <x v="14"/>
    <s v="Male"/>
    <s v="Orthopedics"/>
    <x v="5"/>
    <d v="2025-04-15T00:00:00"/>
    <d v="2025-04-19T00:00:00"/>
    <n v="4"/>
    <n v="27380"/>
    <s v="UPI"/>
    <x v="0"/>
  </r>
  <r>
    <x v="83"/>
    <s v="Patient 84"/>
    <x v="42"/>
    <s v="Female"/>
    <s v="Gynecology"/>
    <x v="4"/>
    <d v="2025-05-22T00:00:00"/>
    <d v="2025-05-28T00:00:00"/>
    <n v="6"/>
    <n v="50052"/>
    <s v="UPI"/>
    <x v="7"/>
  </r>
  <r>
    <x v="84"/>
    <s v="Patient 85"/>
    <x v="37"/>
    <s v="Female"/>
    <s v="General Medicine"/>
    <x v="2"/>
    <d v="2025-12-29T00:00:00"/>
    <d v="2026-01-04T00:00:00"/>
    <n v="6"/>
    <n v="53496"/>
    <s v="Cash"/>
    <x v="2"/>
  </r>
  <r>
    <x v="85"/>
    <s v="Patient 86"/>
    <x v="26"/>
    <s v="Male"/>
    <s v="Neurology"/>
    <x v="1"/>
    <d v="2025-12-25T00:00:00"/>
    <d v="2026-01-01T00:00:00"/>
    <n v="7"/>
    <n v="43736"/>
    <s v="Card"/>
    <x v="2"/>
  </r>
  <r>
    <x v="86"/>
    <s v="Patient 87"/>
    <x v="45"/>
    <s v="Female"/>
    <s v="General Medicine"/>
    <x v="2"/>
    <d v="2025-06-29T00:00:00"/>
    <d v="2025-07-01T00:00:00"/>
    <n v="2"/>
    <n v="7412"/>
    <s v="Insurance"/>
    <x v="8"/>
  </r>
  <r>
    <x v="87"/>
    <s v="Patient 88"/>
    <x v="46"/>
    <s v="Female"/>
    <s v="Neurology"/>
    <x v="1"/>
    <d v="2025-01-02T00:00:00"/>
    <d v="2025-01-12T00:00:00"/>
    <n v="10"/>
    <n v="35860"/>
    <s v="UPI"/>
    <x v="1"/>
  </r>
  <r>
    <x v="88"/>
    <s v="Patient 89"/>
    <x v="26"/>
    <s v="Female"/>
    <s v="Neurology"/>
    <x v="1"/>
    <d v="2025-12-02T00:00:00"/>
    <d v="2025-12-03T00:00:00"/>
    <n v="1"/>
    <n v="8194"/>
    <s v="Card"/>
    <x v="2"/>
  </r>
  <r>
    <x v="89"/>
    <s v="Patient 90"/>
    <x v="47"/>
    <s v="Male"/>
    <s v="General Medicine"/>
    <x v="2"/>
    <d v="2025-12-13T00:00:00"/>
    <d v="2025-12-18T00:00:00"/>
    <n v="5"/>
    <n v="22720"/>
    <s v="Cash"/>
    <x v="2"/>
  </r>
  <r>
    <x v="90"/>
    <s v="Patient 91"/>
    <x v="13"/>
    <s v="Female"/>
    <s v="Cardiology"/>
    <x v="0"/>
    <d v="2025-07-06T00:00:00"/>
    <d v="2025-07-11T00:00:00"/>
    <n v="5"/>
    <n v="17835"/>
    <s v="Insurance"/>
    <x v="3"/>
  </r>
  <r>
    <x v="91"/>
    <s v="Patient 92"/>
    <x v="48"/>
    <s v="Male"/>
    <s v="General Medicine"/>
    <x v="2"/>
    <d v="2025-01-11T00:00:00"/>
    <d v="2025-01-20T00:00:00"/>
    <n v="9"/>
    <n v="68571"/>
    <s v="Cash"/>
    <x v="1"/>
  </r>
  <r>
    <x v="92"/>
    <s v="Patient 93"/>
    <x v="46"/>
    <s v="Male"/>
    <s v="Pediatrics"/>
    <x v="3"/>
    <d v="2025-03-10T00:00:00"/>
    <d v="2025-03-18T00:00:00"/>
    <n v="8"/>
    <n v="34760"/>
    <s v="UPI"/>
    <x v="5"/>
  </r>
  <r>
    <x v="93"/>
    <s v="Patient 94"/>
    <x v="29"/>
    <s v="Male"/>
    <s v="Cardiology"/>
    <x v="0"/>
    <d v="2025-05-18T00:00:00"/>
    <d v="2025-05-25T00:00:00"/>
    <n v="7"/>
    <n v="39235"/>
    <s v="Insurance"/>
    <x v="7"/>
  </r>
  <r>
    <x v="94"/>
    <s v="Patient 95"/>
    <x v="13"/>
    <s v="Male"/>
    <s v="Neurology"/>
    <x v="1"/>
    <d v="2025-06-14T00:00:00"/>
    <d v="2025-06-17T00:00:00"/>
    <n v="3"/>
    <n v="20211"/>
    <s v="Card"/>
    <x v="8"/>
  </r>
  <r>
    <x v="95"/>
    <s v="Patient 96"/>
    <x v="20"/>
    <s v="Male"/>
    <s v="Neurology"/>
    <x v="1"/>
    <d v="2025-07-15T00:00:00"/>
    <d v="2025-07-21T00:00:00"/>
    <n v="6"/>
    <n v="45084"/>
    <s v="Card"/>
    <x v="3"/>
  </r>
  <r>
    <x v="96"/>
    <s v="Patient 97"/>
    <x v="39"/>
    <s v="Male"/>
    <s v="Cardiology"/>
    <x v="0"/>
    <d v="2025-04-16T00:00:00"/>
    <d v="2025-04-26T00:00:00"/>
    <n v="10"/>
    <n v="27860"/>
    <s v="Cash"/>
    <x v="0"/>
  </r>
  <r>
    <x v="97"/>
    <s v="Patient 98"/>
    <x v="22"/>
    <s v="Female"/>
    <s v="Orthopedics"/>
    <x v="5"/>
    <d v="2025-04-19T00:00:00"/>
    <d v="2025-04-25T00:00:00"/>
    <n v="6"/>
    <n v="26820"/>
    <s v="Card"/>
    <x v="0"/>
  </r>
  <r>
    <x v="98"/>
    <s v="Patient 99"/>
    <x v="49"/>
    <s v="Female"/>
    <s v="Neurology"/>
    <x v="1"/>
    <d v="2025-09-29T00:00:00"/>
    <d v="2025-10-03T00:00:00"/>
    <n v="4"/>
    <n v="22728"/>
    <s v="Cash"/>
    <x v="10"/>
  </r>
  <r>
    <x v="99"/>
    <s v="Patient 100"/>
    <x v="48"/>
    <s v="Male"/>
    <s v="Cardiology"/>
    <x v="0"/>
    <d v="2025-05-02T00:00:00"/>
    <d v="2025-05-04T00:00:00"/>
    <n v="2"/>
    <n v="16918"/>
    <s v="Cash"/>
    <x v="7"/>
  </r>
  <r>
    <x v="100"/>
    <s v="Patient 101"/>
    <x v="31"/>
    <s v="Male"/>
    <s v="Cardiology"/>
    <x v="0"/>
    <d v="2025-10-18T00:00:00"/>
    <d v="2025-10-22T00:00:00"/>
    <n v="4"/>
    <n v="33752"/>
    <s v="UPI"/>
    <x v="6"/>
  </r>
  <r>
    <x v="101"/>
    <s v="Patient 102"/>
    <x v="7"/>
    <s v="Male"/>
    <s v="Orthopedics"/>
    <x v="5"/>
    <d v="2025-02-02T00:00:00"/>
    <d v="2025-02-08T00:00:00"/>
    <n v="6"/>
    <n v="41010"/>
    <s v="Insurance"/>
    <x v="11"/>
  </r>
  <r>
    <x v="102"/>
    <s v="Patient 103"/>
    <x v="41"/>
    <s v="Female"/>
    <s v="Gynecology"/>
    <x v="4"/>
    <d v="2025-03-15T00:00:00"/>
    <d v="2025-03-25T00:00:00"/>
    <n v="10"/>
    <n v="26620"/>
    <s v="UPI"/>
    <x v="5"/>
  </r>
  <r>
    <x v="103"/>
    <s v="Patient 104"/>
    <x v="12"/>
    <s v="Female"/>
    <s v="Gynecology"/>
    <x v="4"/>
    <d v="2025-07-14T00:00:00"/>
    <d v="2025-07-24T00:00:00"/>
    <n v="10"/>
    <n v="76610"/>
    <s v="UPI"/>
    <x v="3"/>
  </r>
  <r>
    <x v="104"/>
    <s v="Patient 105"/>
    <x v="16"/>
    <s v="Female"/>
    <s v="Orthopedics"/>
    <x v="5"/>
    <d v="2025-04-08T00:00:00"/>
    <d v="2025-04-11T00:00:00"/>
    <n v="3"/>
    <n v="21330"/>
    <s v="Cash"/>
    <x v="0"/>
  </r>
  <r>
    <x v="105"/>
    <s v="Patient 106"/>
    <x v="15"/>
    <s v="Female"/>
    <s v="Gynecology"/>
    <x v="4"/>
    <d v="2025-11-23T00:00:00"/>
    <d v="2025-12-03T00:00:00"/>
    <n v="10"/>
    <n v="85000"/>
    <s v="UPI"/>
    <x v="9"/>
  </r>
  <r>
    <x v="106"/>
    <s v="Patient 107"/>
    <x v="48"/>
    <s v="Male"/>
    <s v="Cardiology"/>
    <x v="0"/>
    <d v="2025-11-01T00:00:00"/>
    <d v="2025-11-02T00:00:00"/>
    <n v="1"/>
    <n v="6367"/>
    <s v="UPI"/>
    <x v="9"/>
  </r>
  <r>
    <x v="107"/>
    <s v="Patient 108"/>
    <x v="36"/>
    <s v="Female"/>
    <s v="Neurology"/>
    <x v="1"/>
    <d v="2025-12-10T00:00:00"/>
    <d v="2025-12-19T00:00:00"/>
    <n v="9"/>
    <n v="62388"/>
    <s v="Card"/>
    <x v="2"/>
  </r>
  <r>
    <x v="108"/>
    <s v="Patient 109"/>
    <x v="20"/>
    <s v="Male"/>
    <s v="General Medicine"/>
    <x v="2"/>
    <d v="2025-09-15T00:00:00"/>
    <d v="2025-09-16T00:00:00"/>
    <n v="1"/>
    <n v="7979"/>
    <s v="Insurance"/>
    <x v="10"/>
  </r>
  <r>
    <x v="109"/>
    <s v="Patient 110"/>
    <x v="36"/>
    <s v="Male"/>
    <s v="Neurology"/>
    <x v="1"/>
    <d v="2025-03-16T00:00:00"/>
    <d v="2025-03-26T00:00:00"/>
    <n v="10"/>
    <n v="77820"/>
    <s v="UPI"/>
    <x v="5"/>
  </r>
  <r>
    <x v="110"/>
    <s v="Patient 111"/>
    <x v="17"/>
    <s v="Female"/>
    <s v="Orthopedics"/>
    <x v="5"/>
    <d v="2025-07-23T00:00:00"/>
    <d v="2025-07-31T00:00:00"/>
    <n v="8"/>
    <n v="60328"/>
    <s v="Insurance"/>
    <x v="3"/>
  </r>
  <r>
    <x v="111"/>
    <s v="Patient 112"/>
    <x v="50"/>
    <s v="Female"/>
    <s v="Pediatrics"/>
    <x v="3"/>
    <d v="2025-10-23T00:00:00"/>
    <d v="2025-11-02T00:00:00"/>
    <n v="10"/>
    <n v="87900"/>
    <s v="Insurance"/>
    <x v="6"/>
  </r>
  <r>
    <x v="112"/>
    <s v="Patient 113"/>
    <x v="42"/>
    <s v="Male"/>
    <s v="Gynecology"/>
    <x v="4"/>
    <d v="2025-07-24T00:00:00"/>
    <d v="2025-08-01T00:00:00"/>
    <n v="8"/>
    <n v="39688"/>
    <s v="UPI"/>
    <x v="3"/>
  </r>
  <r>
    <x v="113"/>
    <s v="Patient 114"/>
    <x v="49"/>
    <s v="Male"/>
    <s v="Cardiology"/>
    <x v="0"/>
    <d v="2025-09-03T00:00:00"/>
    <d v="2025-09-06T00:00:00"/>
    <n v="3"/>
    <n v="16668"/>
    <s v="UPI"/>
    <x v="10"/>
  </r>
  <r>
    <x v="114"/>
    <s v="Patient 115"/>
    <x v="32"/>
    <s v="Male"/>
    <s v="Orthopedics"/>
    <x v="5"/>
    <d v="2025-11-08T00:00:00"/>
    <d v="2025-11-10T00:00:00"/>
    <n v="2"/>
    <n v="14844"/>
    <s v="Cash"/>
    <x v="9"/>
  </r>
  <r>
    <x v="115"/>
    <s v="Patient 116"/>
    <x v="1"/>
    <s v="Female"/>
    <s v="General Medicine"/>
    <x v="2"/>
    <d v="2025-09-03T00:00:00"/>
    <d v="2025-09-12T00:00:00"/>
    <n v="9"/>
    <n v="35505"/>
    <s v="UPI"/>
    <x v="10"/>
  </r>
  <r>
    <x v="116"/>
    <s v="Patient 117"/>
    <x v="2"/>
    <s v="Male"/>
    <s v="General Medicine"/>
    <x v="2"/>
    <d v="2025-12-28T00:00:00"/>
    <d v="2026-01-04T00:00:00"/>
    <n v="7"/>
    <n v="20188"/>
    <s v="Card"/>
    <x v="2"/>
  </r>
  <r>
    <x v="117"/>
    <s v="Patient 118"/>
    <x v="49"/>
    <s v="Female"/>
    <s v="Cardiology"/>
    <x v="0"/>
    <d v="2025-03-25T00:00:00"/>
    <d v="2025-04-02T00:00:00"/>
    <n v="8"/>
    <n v="49336"/>
    <s v="Insurance"/>
    <x v="5"/>
  </r>
  <r>
    <x v="118"/>
    <s v="Patient 119"/>
    <x v="28"/>
    <s v="Male"/>
    <s v="Orthopedics"/>
    <x v="5"/>
    <d v="2025-10-28T00:00:00"/>
    <d v="2025-11-05T00:00:00"/>
    <n v="8"/>
    <n v="39712"/>
    <s v="Insurance"/>
    <x v="6"/>
  </r>
  <r>
    <x v="119"/>
    <s v="Patient 120"/>
    <x v="44"/>
    <s v="Male"/>
    <s v="Pediatrics"/>
    <x v="3"/>
    <d v="2025-05-17T00:00:00"/>
    <d v="2025-05-21T00:00:00"/>
    <n v="4"/>
    <n v="35220"/>
    <s v="Insurance"/>
    <x v="7"/>
  </r>
  <r>
    <x v="120"/>
    <s v="Patient 121"/>
    <x v="51"/>
    <s v="Male"/>
    <s v="Orthopedics"/>
    <x v="5"/>
    <d v="2025-11-11T00:00:00"/>
    <d v="2025-11-19T00:00:00"/>
    <n v="8"/>
    <n v="51896"/>
    <s v="UPI"/>
    <x v="9"/>
  </r>
  <r>
    <x v="121"/>
    <s v="Patient 122"/>
    <x v="52"/>
    <s v="Male"/>
    <s v="Orthopedics"/>
    <x v="5"/>
    <d v="2025-09-20T00:00:00"/>
    <d v="2025-09-24T00:00:00"/>
    <n v="4"/>
    <n v="27356"/>
    <s v="Card"/>
    <x v="10"/>
  </r>
  <r>
    <x v="122"/>
    <s v="Patient 123"/>
    <x v="46"/>
    <s v="Female"/>
    <s v="Pediatrics"/>
    <x v="3"/>
    <d v="2025-03-12T00:00:00"/>
    <d v="2025-03-21T00:00:00"/>
    <n v="9"/>
    <n v="65628"/>
    <s v="UPI"/>
    <x v="5"/>
  </r>
  <r>
    <x v="123"/>
    <s v="Patient 124"/>
    <x v="3"/>
    <s v="Male"/>
    <s v="Gynecology"/>
    <x v="4"/>
    <d v="2025-12-15T00:00:00"/>
    <d v="2025-12-18T00:00:00"/>
    <n v="3"/>
    <n v="12099"/>
    <s v="Insurance"/>
    <x v="2"/>
  </r>
  <r>
    <x v="124"/>
    <s v="Patient 125"/>
    <x v="16"/>
    <s v="Male"/>
    <s v="Cardiology"/>
    <x v="0"/>
    <d v="2025-08-18T00:00:00"/>
    <d v="2025-08-19T00:00:00"/>
    <n v="1"/>
    <n v="4740"/>
    <s v="Card"/>
    <x v="4"/>
  </r>
  <r>
    <x v="125"/>
    <s v="Patient 126"/>
    <x v="13"/>
    <s v="Male"/>
    <s v="Pediatrics"/>
    <x v="3"/>
    <d v="2025-10-22T00:00:00"/>
    <d v="2025-10-27T00:00:00"/>
    <n v="5"/>
    <n v="15690"/>
    <s v="Cash"/>
    <x v="6"/>
  </r>
  <r>
    <x v="126"/>
    <s v="Patient 127"/>
    <x v="33"/>
    <s v="Female"/>
    <s v="Orthopedics"/>
    <x v="5"/>
    <d v="2025-01-08T00:00:00"/>
    <d v="2025-01-16T00:00:00"/>
    <n v="8"/>
    <n v="46624"/>
    <s v="Card"/>
    <x v="1"/>
  </r>
  <r>
    <x v="127"/>
    <s v="Patient 128"/>
    <x v="5"/>
    <s v="Female"/>
    <s v="Orthopedics"/>
    <x v="5"/>
    <d v="2025-07-10T00:00:00"/>
    <d v="2025-07-12T00:00:00"/>
    <n v="2"/>
    <n v="14236"/>
    <s v="Card"/>
    <x v="3"/>
  </r>
  <r>
    <x v="128"/>
    <s v="Patient 129"/>
    <x v="6"/>
    <s v="Male"/>
    <s v="Orthopedics"/>
    <x v="5"/>
    <d v="2025-08-05T00:00:00"/>
    <d v="2025-08-08T00:00:00"/>
    <n v="3"/>
    <n v="22773"/>
    <s v="Cash"/>
    <x v="4"/>
  </r>
  <r>
    <x v="129"/>
    <s v="Patient 130"/>
    <x v="53"/>
    <s v="Female"/>
    <s v="Orthopedics"/>
    <x v="5"/>
    <d v="2025-08-29T00:00:00"/>
    <d v="2025-09-06T00:00:00"/>
    <n v="8"/>
    <n v="60968"/>
    <s v="Cash"/>
    <x v="4"/>
  </r>
  <r>
    <x v="130"/>
    <s v="Patient 131"/>
    <x v="42"/>
    <s v="Female"/>
    <s v="Cardiology"/>
    <x v="0"/>
    <d v="2025-05-29T00:00:00"/>
    <d v="2025-06-07T00:00:00"/>
    <n v="9"/>
    <n v="29178"/>
    <s v="Insurance"/>
    <x v="7"/>
  </r>
  <r>
    <x v="131"/>
    <s v="Patient 132"/>
    <x v="54"/>
    <s v="Male"/>
    <s v="Gynecology"/>
    <x v="4"/>
    <d v="2025-03-26T00:00:00"/>
    <d v="2025-04-01T00:00:00"/>
    <n v="6"/>
    <n v="44316"/>
    <s v="Insurance"/>
    <x v="5"/>
  </r>
  <r>
    <x v="132"/>
    <s v="Patient 133"/>
    <x v="22"/>
    <s v="Female"/>
    <s v="Pediatrics"/>
    <x v="3"/>
    <d v="2025-08-06T00:00:00"/>
    <d v="2025-08-09T00:00:00"/>
    <n v="3"/>
    <n v="10194"/>
    <s v="Card"/>
    <x v="4"/>
  </r>
  <r>
    <x v="133"/>
    <s v="Patient 134"/>
    <x v="23"/>
    <s v="Female"/>
    <s v="Gynecology"/>
    <x v="4"/>
    <d v="2025-10-10T00:00:00"/>
    <d v="2025-10-14T00:00:00"/>
    <n v="4"/>
    <n v="33888"/>
    <s v="Card"/>
    <x v="6"/>
  </r>
  <r>
    <x v="134"/>
    <s v="Patient 135"/>
    <x v="50"/>
    <s v="Female"/>
    <s v="Pediatrics"/>
    <x v="3"/>
    <d v="2025-03-05T00:00:00"/>
    <d v="2025-03-08T00:00:00"/>
    <n v="3"/>
    <n v="25242"/>
    <s v="UPI"/>
    <x v="5"/>
  </r>
  <r>
    <x v="135"/>
    <s v="Patient 136"/>
    <x v="7"/>
    <s v="Female"/>
    <s v="Pediatrics"/>
    <x v="3"/>
    <d v="2025-04-10T00:00:00"/>
    <d v="2025-04-14T00:00:00"/>
    <n v="4"/>
    <n v="19728"/>
    <s v="UPI"/>
    <x v="0"/>
  </r>
  <r>
    <x v="136"/>
    <s v="Patient 137"/>
    <x v="20"/>
    <s v="Male"/>
    <s v="Cardiology"/>
    <x v="0"/>
    <d v="2025-02-20T00:00:00"/>
    <d v="2025-02-22T00:00:00"/>
    <n v="2"/>
    <n v="13328"/>
    <s v="Cash"/>
    <x v="11"/>
  </r>
  <r>
    <x v="137"/>
    <s v="Patient 138"/>
    <x v="55"/>
    <s v="Female"/>
    <s v="General Medicine"/>
    <x v="2"/>
    <d v="2025-09-20T00:00:00"/>
    <d v="2025-09-26T00:00:00"/>
    <n v="6"/>
    <n v="18054"/>
    <s v="UPI"/>
    <x v="10"/>
  </r>
  <r>
    <x v="138"/>
    <s v="Patient 139"/>
    <x v="10"/>
    <s v="Female"/>
    <s v="Neurology"/>
    <x v="1"/>
    <d v="2025-06-12T00:00:00"/>
    <d v="2025-06-17T00:00:00"/>
    <n v="5"/>
    <n v="39185"/>
    <s v="Insurance"/>
    <x v="8"/>
  </r>
  <r>
    <x v="139"/>
    <s v="Patient 140"/>
    <x v="56"/>
    <s v="Female"/>
    <s v="Cardiology"/>
    <x v="0"/>
    <d v="2025-06-14T00:00:00"/>
    <d v="2025-06-16T00:00:00"/>
    <n v="2"/>
    <n v="10444"/>
    <s v="Insurance"/>
    <x v="8"/>
  </r>
  <r>
    <x v="140"/>
    <s v="Patient 141"/>
    <x v="19"/>
    <s v="Female"/>
    <s v="Orthopedics"/>
    <x v="5"/>
    <d v="2025-02-26T00:00:00"/>
    <d v="2025-03-06T00:00:00"/>
    <n v="8"/>
    <n v="59760"/>
    <s v="UPI"/>
    <x v="11"/>
  </r>
  <r>
    <x v="141"/>
    <s v="Patient 142"/>
    <x v="20"/>
    <s v="Female"/>
    <s v="Orthopedics"/>
    <x v="5"/>
    <d v="2025-04-22T00:00:00"/>
    <d v="2025-05-02T00:00:00"/>
    <n v="10"/>
    <n v="76020"/>
    <s v="Cash"/>
    <x v="0"/>
  </r>
  <r>
    <x v="142"/>
    <s v="Patient 143"/>
    <x v="33"/>
    <s v="Female"/>
    <s v="Gynecology"/>
    <x v="4"/>
    <d v="2025-04-03T00:00:00"/>
    <d v="2025-04-09T00:00:00"/>
    <n v="6"/>
    <n v="52488"/>
    <s v="Cash"/>
    <x v="0"/>
  </r>
  <r>
    <x v="143"/>
    <s v="Patient 144"/>
    <x v="42"/>
    <s v="Female"/>
    <s v="Neurology"/>
    <x v="1"/>
    <d v="2025-02-11T00:00:00"/>
    <d v="2025-02-17T00:00:00"/>
    <n v="6"/>
    <n v="19104"/>
    <s v="UPI"/>
    <x v="11"/>
  </r>
  <r>
    <x v="144"/>
    <s v="Patient 145"/>
    <x v="31"/>
    <s v="Male"/>
    <s v="Pediatrics"/>
    <x v="3"/>
    <d v="2025-07-22T00:00:00"/>
    <d v="2025-07-23T00:00:00"/>
    <n v="1"/>
    <n v="3359"/>
    <s v="UPI"/>
    <x v="3"/>
  </r>
  <r>
    <x v="145"/>
    <s v="Patient 146"/>
    <x v="32"/>
    <s v="Female"/>
    <s v="General Medicine"/>
    <x v="2"/>
    <d v="2025-05-14T00:00:00"/>
    <d v="2025-05-16T00:00:00"/>
    <n v="2"/>
    <n v="15232"/>
    <s v="Card"/>
    <x v="7"/>
  </r>
  <r>
    <x v="146"/>
    <s v="Patient 147"/>
    <x v="22"/>
    <s v="Male"/>
    <s v="Cardiology"/>
    <x v="0"/>
    <d v="2025-06-27T00:00:00"/>
    <d v="2025-06-29T00:00:00"/>
    <n v="2"/>
    <n v="9666"/>
    <s v="Cash"/>
    <x v="8"/>
  </r>
  <r>
    <x v="147"/>
    <s v="Patient 148"/>
    <x v="1"/>
    <s v="Female"/>
    <s v="Orthopedics"/>
    <x v="5"/>
    <d v="2025-12-13T00:00:00"/>
    <d v="2025-12-22T00:00:00"/>
    <n v="9"/>
    <n v="27621"/>
    <s v="Card"/>
    <x v="2"/>
  </r>
  <r>
    <x v="148"/>
    <s v="Patient 149"/>
    <x v="46"/>
    <s v="Female"/>
    <s v="Neurology"/>
    <x v="1"/>
    <d v="2025-08-14T00:00:00"/>
    <d v="2025-08-22T00:00:00"/>
    <n v="8"/>
    <n v="55968"/>
    <s v="UPI"/>
    <x v="4"/>
  </r>
  <r>
    <x v="149"/>
    <s v="Patient 150"/>
    <x v="46"/>
    <s v="Female"/>
    <s v="Neurology"/>
    <x v="1"/>
    <d v="2025-09-30T00:00:00"/>
    <d v="2025-10-04T00:00:00"/>
    <n v="4"/>
    <n v="30164"/>
    <s v="UPI"/>
    <x v="10"/>
  </r>
  <r>
    <x v="150"/>
    <s v="Patient 151"/>
    <x v="23"/>
    <s v="Male"/>
    <s v="General Medicine"/>
    <x v="2"/>
    <d v="2025-07-17T00:00:00"/>
    <d v="2025-07-25T00:00:00"/>
    <n v="8"/>
    <n v="43384"/>
    <s v="UPI"/>
    <x v="3"/>
  </r>
  <r>
    <x v="151"/>
    <s v="Patient 152"/>
    <x v="44"/>
    <s v="Male"/>
    <s v="General Medicine"/>
    <x v="2"/>
    <d v="2025-02-05T00:00:00"/>
    <d v="2025-02-14T00:00:00"/>
    <n v="9"/>
    <n v="56061"/>
    <s v="Card"/>
    <x v="11"/>
  </r>
  <r>
    <x v="152"/>
    <s v="Patient 153"/>
    <x v="18"/>
    <s v="Female"/>
    <s v="Neurology"/>
    <x v="1"/>
    <d v="2025-09-22T00:00:00"/>
    <d v="2025-09-28T00:00:00"/>
    <n v="6"/>
    <n v="25830"/>
    <s v="UPI"/>
    <x v="10"/>
  </r>
  <r>
    <x v="153"/>
    <s v="Patient 154"/>
    <x v="29"/>
    <s v="Female"/>
    <s v="General Medicine"/>
    <x v="2"/>
    <d v="2025-11-02T00:00:00"/>
    <d v="2025-11-09T00:00:00"/>
    <n v="7"/>
    <n v="40502"/>
    <s v="Cash"/>
    <x v="9"/>
  </r>
  <r>
    <x v="154"/>
    <s v="Patient 155"/>
    <x v="37"/>
    <s v="Male"/>
    <s v="General Medicine"/>
    <x v="2"/>
    <d v="2025-07-10T00:00:00"/>
    <d v="2025-07-14T00:00:00"/>
    <n v="4"/>
    <n v="11148"/>
    <s v="Card"/>
    <x v="3"/>
  </r>
  <r>
    <x v="155"/>
    <s v="Patient 156"/>
    <x v="46"/>
    <s v="Female"/>
    <s v="Neurology"/>
    <x v="1"/>
    <d v="2025-10-25T00:00:00"/>
    <d v="2025-11-04T00:00:00"/>
    <n v="10"/>
    <n v="52290"/>
    <s v="Insurance"/>
    <x v="6"/>
  </r>
  <r>
    <x v="156"/>
    <s v="Patient 157"/>
    <x v="50"/>
    <s v="Male"/>
    <s v="Cardiology"/>
    <x v="0"/>
    <d v="2025-07-07T00:00:00"/>
    <d v="2025-07-15T00:00:00"/>
    <n v="8"/>
    <n v="33160"/>
    <s v="Cash"/>
    <x v="3"/>
  </r>
  <r>
    <x v="157"/>
    <s v="Patient 158"/>
    <x v="32"/>
    <s v="Female"/>
    <s v="General Medicine"/>
    <x v="2"/>
    <d v="2025-10-12T00:00:00"/>
    <d v="2025-10-16T00:00:00"/>
    <n v="4"/>
    <n v="34488"/>
    <s v="Card"/>
    <x v="6"/>
  </r>
  <r>
    <x v="158"/>
    <s v="Patient 159"/>
    <x v="42"/>
    <s v="Male"/>
    <s v="Orthopedics"/>
    <x v="5"/>
    <d v="2025-02-16T00:00:00"/>
    <d v="2025-02-18T00:00:00"/>
    <n v="2"/>
    <n v="14460"/>
    <s v="Insurance"/>
    <x v="11"/>
  </r>
  <r>
    <x v="159"/>
    <s v="Patient 160"/>
    <x v="47"/>
    <s v="Male"/>
    <s v="Orthopedics"/>
    <x v="5"/>
    <d v="2025-09-19T00:00:00"/>
    <d v="2025-09-24T00:00:00"/>
    <n v="5"/>
    <n v="22165"/>
    <s v="Card"/>
    <x v="10"/>
  </r>
  <r>
    <x v="160"/>
    <s v="Patient 161"/>
    <x v="18"/>
    <s v="Female"/>
    <s v="General Medicine"/>
    <x v="2"/>
    <d v="2025-11-01T00:00:00"/>
    <d v="2025-11-09T00:00:00"/>
    <n v="8"/>
    <n v="37688"/>
    <s v="Insurance"/>
    <x v="9"/>
  </r>
  <r>
    <x v="161"/>
    <s v="Patient 162"/>
    <x v="21"/>
    <s v="Female"/>
    <s v="Orthopedics"/>
    <x v="5"/>
    <d v="2025-11-01T00:00:00"/>
    <d v="2025-11-11T00:00:00"/>
    <n v="10"/>
    <n v="71440"/>
    <s v="Card"/>
    <x v="9"/>
  </r>
  <r>
    <x v="162"/>
    <s v="Patient 163"/>
    <x v="37"/>
    <s v="Male"/>
    <s v="Pediatrics"/>
    <x v="3"/>
    <d v="2025-01-20T00:00:00"/>
    <d v="2025-01-25T00:00:00"/>
    <n v="5"/>
    <n v="15065"/>
    <s v="UPI"/>
    <x v="1"/>
  </r>
  <r>
    <x v="163"/>
    <s v="Patient 164"/>
    <x v="6"/>
    <s v="Male"/>
    <s v="General Medicine"/>
    <x v="2"/>
    <d v="2025-10-11T00:00:00"/>
    <d v="2025-10-18T00:00:00"/>
    <n v="7"/>
    <n v="61341"/>
    <s v="UPI"/>
    <x v="6"/>
  </r>
  <r>
    <x v="164"/>
    <s v="Patient 165"/>
    <x v="37"/>
    <s v="Male"/>
    <s v="Pediatrics"/>
    <x v="3"/>
    <d v="2025-10-11T00:00:00"/>
    <d v="2025-10-17T00:00:00"/>
    <n v="6"/>
    <n v="19428"/>
    <s v="Insurance"/>
    <x v="6"/>
  </r>
  <r>
    <x v="165"/>
    <s v="Patient 166"/>
    <x v="5"/>
    <s v="Female"/>
    <s v="Gynecology"/>
    <x v="4"/>
    <d v="2025-08-08T00:00:00"/>
    <d v="2025-08-14T00:00:00"/>
    <n v="6"/>
    <n v="34182"/>
    <s v="Cash"/>
    <x v="4"/>
  </r>
  <r>
    <x v="166"/>
    <s v="Patient 167"/>
    <x v="16"/>
    <s v="Male"/>
    <s v="Gynecology"/>
    <x v="4"/>
    <d v="2025-08-20T00:00:00"/>
    <d v="2025-08-30T00:00:00"/>
    <n v="10"/>
    <n v="74900"/>
    <s v="Card"/>
    <x v="4"/>
  </r>
  <r>
    <x v="167"/>
    <s v="Patient 168"/>
    <x v="39"/>
    <s v="Female"/>
    <s v="Gynecology"/>
    <x v="4"/>
    <d v="2025-05-07T00:00:00"/>
    <d v="2025-05-09T00:00:00"/>
    <n v="2"/>
    <n v="13566"/>
    <s v="UPI"/>
    <x v="7"/>
  </r>
  <r>
    <x v="168"/>
    <s v="Patient 169"/>
    <x v="57"/>
    <s v="Female"/>
    <s v="Gynecology"/>
    <x v="4"/>
    <d v="2025-04-18T00:00:00"/>
    <d v="2025-04-26T00:00:00"/>
    <n v="8"/>
    <n v="62032"/>
    <s v="UPI"/>
    <x v="0"/>
  </r>
  <r>
    <x v="169"/>
    <s v="Patient 170"/>
    <x v="11"/>
    <s v="Female"/>
    <s v="Orthopedics"/>
    <x v="5"/>
    <d v="2025-10-14T00:00:00"/>
    <d v="2025-10-24T00:00:00"/>
    <n v="10"/>
    <n v="85980"/>
    <s v="Cash"/>
    <x v="6"/>
  </r>
  <r>
    <x v="170"/>
    <s v="Patient 171"/>
    <x v="53"/>
    <s v="Male"/>
    <s v="Neurology"/>
    <x v="1"/>
    <d v="2025-09-12T00:00:00"/>
    <d v="2025-09-17T00:00:00"/>
    <n v="5"/>
    <n v="19660"/>
    <s v="Insurance"/>
    <x v="10"/>
  </r>
  <r>
    <x v="171"/>
    <s v="Patient 172"/>
    <x v="12"/>
    <s v="Female"/>
    <s v="Neurology"/>
    <x v="1"/>
    <d v="2025-09-13T00:00:00"/>
    <d v="2025-09-17T00:00:00"/>
    <n v="4"/>
    <n v="27520"/>
    <s v="Card"/>
    <x v="10"/>
  </r>
  <r>
    <x v="172"/>
    <s v="Patient 173"/>
    <x v="32"/>
    <s v="Male"/>
    <s v="Neurology"/>
    <x v="1"/>
    <d v="2025-02-26T00:00:00"/>
    <d v="2025-03-04T00:00:00"/>
    <n v="6"/>
    <n v="34242"/>
    <s v="Cash"/>
    <x v="11"/>
  </r>
  <r>
    <x v="173"/>
    <s v="Patient 174"/>
    <x v="6"/>
    <s v="Male"/>
    <s v="Pediatrics"/>
    <x v="3"/>
    <d v="2025-02-02T00:00:00"/>
    <d v="2025-02-03T00:00:00"/>
    <n v="1"/>
    <n v="3674"/>
    <s v="Card"/>
    <x v="11"/>
  </r>
  <r>
    <x v="174"/>
    <s v="Patient 175"/>
    <x v="31"/>
    <s v="Male"/>
    <s v="Neurology"/>
    <x v="1"/>
    <d v="2025-03-09T00:00:00"/>
    <d v="2025-03-15T00:00:00"/>
    <n v="6"/>
    <n v="40746"/>
    <s v="Card"/>
    <x v="5"/>
  </r>
  <r>
    <x v="175"/>
    <s v="Patient 176"/>
    <x v="1"/>
    <s v="Female"/>
    <s v="Gynecology"/>
    <x v="4"/>
    <d v="2025-08-10T00:00:00"/>
    <d v="2025-08-13T00:00:00"/>
    <n v="3"/>
    <n v="22080"/>
    <s v="Cash"/>
    <x v="4"/>
  </r>
  <r>
    <x v="176"/>
    <s v="Patient 177"/>
    <x v="10"/>
    <s v="Male"/>
    <s v="Pediatrics"/>
    <x v="3"/>
    <d v="2025-01-10T00:00:00"/>
    <d v="2025-01-16T00:00:00"/>
    <n v="6"/>
    <n v="22824"/>
    <s v="Card"/>
    <x v="1"/>
  </r>
  <r>
    <x v="177"/>
    <s v="Patient 178"/>
    <x v="44"/>
    <s v="Female"/>
    <s v="Neurology"/>
    <x v="1"/>
    <d v="2025-11-20T00:00:00"/>
    <d v="2025-11-30T00:00:00"/>
    <n v="10"/>
    <n v="65320"/>
    <s v="Card"/>
    <x v="9"/>
  </r>
  <r>
    <x v="178"/>
    <s v="Patient 179"/>
    <x v="9"/>
    <s v="Female"/>
    <s v="Cardiology"/>
    <x v="0"/>
    <d v="2025-04-08T00:00:00"/>
    <d v="2025-04-15T00:00:00"/>
    <n v="7"/>
    <n v="53123"/>
    <s v="Insurance"/>
    <x v="0"/>
  </r>
  <r>
    <x v="179"/>
    <s v="Patient 180"/>
    <x v="16"/>
    <s v="Female"/>
    <s v="Neurology"/>
    <x v="1"/>
    <d v="2025-10-25T00:00:00"/>
    <d v="2025-11-03T00:00:00"/>
    <n v="9"/>
    <n v="77211"/>
    <s v="Cash"/>
    <x v="6"/>
  </r>
  <r>
    <x v="180"/>
    <s v="Patient 181"/>
    <x v="58"/>
    <s v="Female"/>
    <s v="Pediatrics"/>
    <x v="3"/>
    <d v="2025-10-14T00:00:00"/>
    <d v="2025-10-21T00:00:00"/>
    <n v="7"/>
    <n v="31108"/>
    <s v="Insurance"/>
    <x v="6"/>
  </r>
  <r>
    <x v="181"/>
    <s v="Patient 182"/>
    <x v="20"/>
    <s v="Male"/>
    <s v="Neurology"/>
    <x v="1"/>
    <d v="2025-12-05T00:00:00"/>
    <d v="2025-12-06T00:00:00"/>
    <n v="1"/>
    <n v="8696"/>
    <s v="Cash"/>
    <x v="2"/>
  </r>
  <r>
    <x v="182"/>
    <s v="Patient 183"/>
    <x v="45"/>
    <s v="Male"/>
    <s v="Orthopedics"/>
    <x v="5"/>
    <d v="2025-09-18T00:00:00"/>
    <d v="2025-09-28T00:00:00"/>
    <n v="10"/>
    <n v="50210"/>
    <s v="UPI"/>
    <x v="10"/>
  </r>
  <r>
    <x v="183"/>
    <s v="Patient 184"/>
    <x v="20"/>
    <s v="Male"/>
    <s v="Gynecology"/>
    <x v="4"/>
    <d v="2025-04-12T00:00:00"/>
    <d v="2025-04-20T00:00:00"/>
    <n v="8"/>
    <n v="35832"/>
    <s v="UPI"/>
    <x v="0"/>
  </r>
  <r>
    <x v="184"/>
    <s v="Patient 185"/>
    <x v="15"/>
    <s v="Male"/>
    <s v="Cardiology"/>
    <x v="0"/>
    <d v="2025-05-19T00:00:00"/>
    <d v="2025-05-22T00:00:00"/>
    <n v="3"/>
    <n v="15876"/>
    <s v="Insurance"/>
    <x v="7"/>
  </r>
  <r>
    <x v="185"/>
    <s v="Patient 186"/>
    <x v="42"/>
    <s v="Female"/>
    <s v="Cardiology"/>
    <x v="0"/>
    <d v="2025-04-01T00:00:00"/>
    <d v="2025-04-07T00:00:00"/>
    <n v="6"/>
    <n v="18786"/>
    <s v="Cash"/>
    <x v="0"/>
  </r>
  <r>
    <x v="186"/>
    <s v="Patient 187"/>
    <x v="8"/>
    <s v="Male"/>
    <s v="General Medicine"/>
    <x v="2"/>
    <d v="2025-12-02T00:00:00"/>
    <d v="2025-12-11T00:00:00"/>
    <n v="9"/>
    <n v="44910"/>
    <s v="UPI"/>
    <x v="2"/>
  </r>
  <r>
    <x v="187"/>
    <s v="Patient 188"/>
    <x v="34"/>
    <s v="Female"/>
    <s v="Pediatrics"/>
    <x v="3"/>
    <d v="2025-12-22T00:00:00"/>
    <d v="2025-12-29T00:00:00"/>
    <n v="7"/>
    <n v="48146"/>
    <s v="Cash"/>
    <x v="2"/>
  </r>
  <r>
    <x v="188"/>
    <s v="Patient 189"/>
    <x v="42"/>
    <s v="Male"/>
    <s v="Gynecology"/>
    <x v="4"/>
    <d v="2025-08-05T00:00:00"/>
    <d v="2025-08-06T00:00:00"/>
    <n v="1"/>
    <n v="7196"/>
    <s v="Insurance"/>
    <x v="4"/>
  </r>
  <r>
    <x v="189"/>
    <s v="Patient 190"/>
    <x v="41"/>
    <s v="Female"/>
    <s v="Cardiology"/>
    <x v="0"/>
    <d v="2025-09-28T00:00:00"/>
    <d v="2025-10-06T00:00:00"/>
    <n v="8"/>
    <n v="71560"/>
    <s v="UPI"/>
    <x v="10"/>
  </r>
  <r>
    <x v="190"/>
    <s v="Patient 191"/>
    <x v="8"/>
    <s v="Male"/>
    <s v="General Medicine"/>
    <x v="2"/>
    <d v="2025-03-04T00:00:00"/>
    <d v="2025-03-13T00:00:00"/>
    <n v="9"/>
    <n v="76329"/>
    <s v="Insurance"/>
    <x v="5"/>
  </r>
  <r>
    <x v="191"/>
    <s v="Patient 192"/>
    <x v="15"/>
    <s v="Female"/>
    <s v="Gynecology"/>
    <x v="4"/>
    <d v="2025-04-07T00:00:00"/>
    <d v="2025-04-16T00:00:00"/>
    <n v="9"/>
    <n v="30798"/>
    <s v="Card"/>
    <x v="0"/>
  </r>
  <r>
    <x v="192"/>
    <s v="Patient 193"/>
    <x v="30"/>
    <s v="Female"/>
    <s v="Gynecology"/>
    <x v="4"/>
    <d v="2025-12-05T00:00:00"/>
    <d v="2025-12-06T00:00:00"/>
    <n v="1"/>
    <n v="6414"/>
    <s v="UPI"/>
    <x v="2"/>
  </r>
  <r>
    <x v="193"/>
    <s v="Patient 194"/>
    <x v="56"/>
    <s v="Male"/>
    <s v="Pediatrics"/>
    <x v="3"/>
    <d v="2025-10-12T00:00:00"/>
    <d v="2025-10-13T00:00:00"/>
    <n v="1"/>
    <n v="6873"/>
    <s v="Cash"/>
    <x v="6"/>
  </r>
  <r>
    <x v="194"/>
    <s v="Patient 195"/>
    <x v="7"/>
    <s v="Male"/>
    <s v="General Medicine"/>
    <x v="2"/>
    <d v="2025-04-18T00:00:00"/>
    <d v="2025-04-28T00:00:00"/>
    <n v="10"/>
    <n v="56380"/>
    <s v="Cash"/>
    <x v="0"/>
  </r>
  <r>
    <x v="195"/>
    <s v="Patient 196"/>
    <x v="17"/>
    <s v="Female"/>
    <s v="Orthopedics"/>
    <x v="5"/>
    <d v="2025-10-12T00:00:00"/>
    <d v="2025-10-21T00:00:00"/>
    <n v="9"/>
    <n v="33021"/>
    <s v="UPI"/>
    <x v="6"/>
  </r>
  <r>
    <x v="196"/>
    <s v="Patient 197"/>
    <x v="52"/>
    <s v="Male"/>
    <s v="Orthopedics"/>
    <x v="5"/>
    <d v="2025-04-07T00:00:00"/>
    <d v="2025-04-15T00:00:00"/>
    <n v="8"/>
    <n v="33680"/>
    <s v="UPI"/>
    <x v="0"/>
  </r>
  <r>
    <x v="197"/>
    <s v="Patient 198"/>
    <x v="35"/>
    <s v="Male"/>
    <s v="Gynecology"/>
    <x v="4"/>
    <d v="2025-08-30T00:00:00"/>
    <d v="2025-09-08T00:00:00"/>
    <n v="9"/>
    <n v="72738"/>
    <s v="Insurance"/>
    <x v="4"/>
  </r>
  <r>
    <x v="198"/>
    <s v="Patient 199"/>
    <x v="33"/>
    <s v="Female"/>
    <s v="General Medicine"/>
    <x v="2"/>
    <d v="2025-02-03T00:00:00"/>
    <d v="2025-02-05T00:00:00"/>
    <n v="2"/>
    <n v="6482"/>
    <s v="Insurance"/>
    <x v="11"/>
  </r>
  <r>
    <x v="199"/>
    <s v="Patient 200"/>
    <x v="47"/>
    <s v="Female"/>
    <s v="Cardiology"/>
    <x v="0"/>
    <d v="2025-09-16T00:00:00"/>
    <d v="2025-09-21T00:00:00"/>
    <n v="5"/>
    <n v="43750"/>
    <s v="Card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:B8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2"/>
        <item x="4"/>
        <item x="1"/>
        <item x="5"/>
        <item x="3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compact="0" numFmtId="164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0" baseItem="0"/>
  </dataFields>
  <formats count="5">
    <format dxfId="33">
      <pivotArea field="4" type="button" dataOnly="0" labelOnly="1" outline="0" axis="axisRow" fieldPosition="0"/>
    </format>
    <format dxfId="32">
      <pivotArea dataOnly="0" labelOnly="1" outline="0" axis="axisValues" fieldPosition="0"/>
    </format>
    <format dxfId="31">
      <pivotArea field="4" type="button" dataOnly="0" labelOnly="1" outline="0" axis="axisRow" fieldPosition="0"/>
    </format>
    <format dxfId="30">
      <pivotArea dataOnly="0" labelOnly="1" outline="0" axis="axisValues" fieldPosition="0"/>
    </format>
    <format dxfId="27">
      <pivotArea type="all" dataOnly="0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8" firstHeaderRow="1" firstDataRow="1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2"/>
        <item x="1"/>
        <item x="0"/>
        <item x="5"/>
        <item x="3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0" baseItem="0"/>
  </dataFields>
  <formats count="5">
    <format dxfId="24">
      <pivotArea field="5" type="button" dataOnly="0" labelOnly="1" outline="0" axis="axisRow" fieldPosition="0"/>
    </format>
    <format dxfId="23">
      <pivotArea dataOnly="0" labelOnly="1" outline="0" axis="axisValues" fieldPosition="0"/>
    </format>
    <format dxfId="22">
      <pivotArea field="5" type="button" dataOnly="0" labelOnly="1" outline="0" axis="axisRow" fieldPosition="0"/>
    </format>
    <format dxfId="21">
      <pivotArea dataOnly="0" labelOnly="1" outline="0" axis="axisValues" fieldPosition="0"/>
    </format>
    <format dxfId="18">
      <pivotArea type="all" dataOnly="0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1"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numFmtId="164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atient ID" fld="0" subtotal="count" baseField="0" baseItem="0"/>
  </dataFields>
  <formats count="5">
    <format dxfId="15">
      <pivotArea field="3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3" type="button" dataOnly="0" labelOnly="1" outline="0" axis="axisRow" fieldPosition="0"/>
    </format>
    <format dxfId="12">
      <pivotArea dataOnly="0" labelOnly="1" outline="0" axis="axisValues" fieldPosition="0"/>
    </format>
    <format dxfId="9">
      <pivotArea type="all" dataOnly="0" outline="0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:B14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13">
        <item x="1"/>
        <item x="11"/>
        <item x="5"/>
        <item x="0"/>
        <item x="7"/>
        <item x="8"/>
        <item x="3"/>
        <item x="4"/>
        <item x="10"/>
        <item x="6"/>
        <item x="9"/>
        <item x="2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reatment Cost" fld="9" baseField="0" baseItem="0" numFmtId="164"/>
  </dataFields>
  <formats count="7">
    <format dxfId="6">
      <pivotArea field="11" type="button" dataOnly="0" labelOnly="1" outline="0" axis="axisRow" fieldPosition="0"/>
    </format>
    <format dxfId="5">
      <pivotArea dataOnly="0" labelOnly="1" outline="0" axis="axisValues" fieldPosition="0"/>
    </format>
    <format dxfId="4">
      <pivotArea field="11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11" type="button" dataOnly="0" labelOnly="1" outline="0" axis="axisRow" fieldPosition="0"/>
    </format>
    <format dxfId="1">
      <pivotArea field="11" type="button" dataOnly="0" labelOnly="1" outline="0" axis="axisRow" fieldPosition="0"/>
    </format>
    <format dxfId="0">
      <pivotArea type="all" dataOnly="0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workbookViewId="0">
      <pane ySplit="1" topLeftCell="A2" activePane="bottomLeft" state="frozen"/>
      <selection pane="bottomLeft" activeCell="C4" sqref="C4"/>
    </sheetView>
  </sheetViews>
  <sheetFormatPr defaultColWidth="15.7109375" defaultRowHeight="15"/>
  <cols>
    <col min="1" max="6" width="15.7109375" style="25"/>
    <col min="7" max="8" width="15.7109375" style="32"/>
    <col min="9" max="9" width="15.7109375" style="25"/>
    <col min="10" max="10" width="15.7109375" style="33"/>
    <col min="11" max="11" width="15.7109375" style="25"/>
    <col min="12" max="12" width="15.7109375" style="35"/>
    <col min="13" max="16384" width="15.7109375" style="3"/>
  </cols>
  <sheetData>
    <row r="1" spans="1:13" s="26" customFormat="1" ht="15.7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2" t="s">
        <v>8</v>
      </c>
      <c r="J1" s="24" t="s">
        <v>9</v>
      </c>
      <c r="K1" s="22" t="s">
        <v>10</v>
      </c>
      <c r="L1" s="22" t="s">
        <v>11</v>
      </c>
      <c r="M1" s="31"/>
    </row>
    <row r="2" spans="1:13">
      <c r="A2" s="25" t="s">
        <v>12</v>
      </c>
      <c r="B2" s="25" t="s">
        <v>13</v>
      </c>
      <c r="C2" s="25">
        <v>53</v>
      </c>
      <c r="D2" s="25" t="s">
        <v>14</v>
      </c>
      <c r="E2" s="25" t="s">
        <v>15</v>
      </c>
      <c r="F2" s="25" t="s">
        <v>16</v>
      </c>
      <c r="G2" s="32">
        <v>45769</v>
      </c>
      <c r="H2" s="32">
        <v>45771</v>
      </c>
      <c r="I2" s="25">
        <v>2</v>
      </c>
      <c r="J2" s="33">
        <v>11900</v>
      </c>
      <c r="K2" s="25" t="s">
        <v>17</v>
      </c>
      <c r="L2" s="34" t="str">
        <f>TEXT(G2,"mmmm")</f>
        <v>April</v>
      </c>
      <c r="M2" s="4"/>
    </row>
    <row r="3" spans="1:13">
      <c r="A3" s="25" t="s">
        <v>18</v>
      </c>
      <c r="B3" s="25" t="s">
        <v>19</v>
      </c>
      <c r="C3" s="25">
        <v>31</v>
      </c>
      <c r="D3" s="25" t="s">
        <v>20</v>
      </c>
      <c r="E3" s="25" t="s">
        <v>15</v>
      </c>
      <c r="F3" s="25" t="s">
        <v>16</v>
      </c>
      <c r="G3" s="32">
        <v>45662</v>
      </c>
      <c r="H3" s="32">
        <v>45672</v>
      </c>
      <c r="I3" s="25">
        <v>10</v>
      </c>
      <c r="J3" s="33">
        <v>48180</v>
      </c>
      <c r="K3" s="25" t="s">
        <v>17</v>
      </c>
      <c r="L3" s="34" t="str">
        <f>TEXT(G3,"mmmm")</f>
        <v>January</v>
      </c>
    </row>
    <row r="4" spans="1:13">
      <c r="A4" s="25" t="s">
        <v>21</v>
      </c>
      <c r="B4" s="25" t="s">
        <v>22</v>
      </c>
      <c r="C4" s="25">
        <v>57</v>
      </c>
      <c r="D4" s="25" t="s">
        <v>14</v>
      </c>
      <c r="E4" s="25" t="s">
        <v>23</v>
      </c>
      <c r="F4" s="25" t="s">
        <v>24</v>
      </c>
      <c r="G4" s="32">
        <v>46001</v>
      </c>
      <c r="H4" s="32">
        <v>46008</v>
      </c>
      <c r="I4" s="25">
        <v>7</v>
      </c>
      <c r="J4" s="33">
        <v>60438</v>
      </c>
      <c r="K4" s="25" t="s">
        <v>25</v>
      </c>
      <c r="L4" s="34" t="str">
        <f t="shared" ref="L4:L67" si="0">TEXT(G4,"mmmm")</f>
        <v>December</v>
      </c>
    </row>
    <row r="5" spans="1:13">
      <c r="A5" s="25" t="s">
        <v>26</v>
      </c>
      <c r="B5" s="25" t="s">
        <v>27</v>
      </c>
      <c r="C5" s="25">
        <v>74</v>
      </c>
      <c r="D5" s="25" t="s">
        <v>20</v>
      </c>
      <c r="E5" s="25" t="s">
        <v>28</v>
      </c>
      <c r="F5" s="25" t="s">
        <v>29</v>
      </c>
      <c r="G5" s="32">
        <v>45663</v>
      </c>
      <c r="H5" s="32">
        <v>45673</v>
      </c>
      <c r="I5" s="25">
        <v>10</v>
      </c>
      <c r="J5" s="33">
        <v>54980</v>
      </c>
      <c r="K5" s="25" t="s">
        <v>30</v>
      </c>
      <c r="L5" s="34" t="str">
        <f t="shared" si="0"/>
        <v>January</v>
      </c>
    </row>
    <row r="6" spans="1:13">
      <c r="A6" s="25" t="s">
        <v>31</v>
      </c>
      <c r="B6" s="25" t="s">
        <v>32</v>
      </c>
      <c r="C6" s="25">
        <v>52</v>
      </c>
      <c r="D6" s="25" t="s">
        <v>14</v>
      </c>
      <c r="E6" s="25" t="s">
        <v>33</v>
      </c>
      <c r="F6" s="25" t="s">
        <v>34</v>
      </c>
      <c r="G6" s="32">
        <v>45854</v>
      </c>
      <c r="H6" s="32">
        <v>45863</v>
      </c>
      <c r="I6" s="25">
        <v>9</v>
      </c>
      <c r="J6" s="33">
        <v>30096</v>
      </c>
      <c r="K6" s="25" t="s">
        <v>35</v>
      </c>
      <c r="L6" s="34" t="str">
        <f t="shared" si="0"/>
        <v>July</v>
      </c>
    </row>
    <row r="7" spans="1:13">
      <c r="A7" s="25" t="s">
        <v>36</v>
      </c>
      <c r="B7" s="25" t="s">
        <v>37</v>
      </c>
      <c r="C7" s="25">
        <v>29</v>
      </c>
      <c r="D7" s="25" t="s">
        <v>20</v>
      </c>
      <c r="E7" s="25" t="s">
        <v>23</v>
      </c>
      <c r="F7" s="25" t="s">
        <v>24</v>
      </c>
      <c r="G7" s="32">
        <v>45876</v>
      </c>
      <c r="H7" s="32">
        <v>45884</v>
      </c>
      <c r="I7" s="25">
        <v>8</v>
      </c>
      <c r="J7" s="33">
        <v>37160</v>
      </c>
      <c r="K7" s="25" t="s">
        <v>35</v>
      </c>
      <c r="L7" s="34" t="str">
        <f t="shared" si="0"/>
        <v>August</v>
      </c>
    </row>
    <row r="8" spans="1:13">
      <c r="A8" s="25" t="s">
        <v>38</v>
      </c>
      <c r="B8" s="25" t="s">
        <v>39</v>
      </c>
      <c r="C8" s="25">
        <v>74</v>
      </c>
      <c r="D8" s="25" t="s">
        <v>20</v>
      </c>
      <c r="E8" s="25" t="s">
        <v>40</v>
      </c>
      <c r="F8" s="25" t="s">
        <v>41</v>
      </c>
      <c r="G8" s="32">
        <v>45718</v>
      </c>
      <c r="H8" s="32">
        <v>45721</v>
      </c>
      <c r="I8" s="25">
        <v>3</v>
      </c>
      <c r="J8" s="33">
        <v>25272</v>
      </c>
      <c r="K8" s="25" t="s">
        <v>35</v>
      </c>
      <c r="L8" s="34" t="str">
        <f t="shared" si="0"/>
        <v>March</v>
      </c>
    </row>
    <row r="9" spans="1:13">
      <c r="A9" s="25" t="s">
        <v>42</v>
      </c>
      <c r="B9" s="25" t="s">
        <v>43</v>
      </c>
      <c r="C9" s="25">
        <v>25</v>
      </c>
      <c r="D9" s="25" t="s">
        <v>14</v>
      </c>
      <c r="E9" s="25" t="s">
        <v>40</v>
      </c>
      <c r="F9" s="25" t="s">
        <v>41</v>
      </c>
      <c r="G9" s="32">
        <v>45757</v>
      </c>
      <c r="H9" s="32">
        <v>45764</v>
      </c>
      <c r="I9" s="25">
        <v>7</v>
      </c>
      <c r="J9" s="33">
        <v>46466</v>
      </c>
      <c r="K9" s="25" t="s">
        <v>17</v>
      </c>
      <c r="L9" s="34" t="str">
        <f t="shared" si="0"/>
        <v>April</v>
      </c>
    </row>
    <row r="10" spans="1:13">
      <c r="A10" s="25" t="s">
        <v>44</v>
      </c>
      <c r="B10" s="25" t="s">
        <v>45</v>
      </c>
      <c r="C10" s="25">
        <v>78</v>
      </c>
      <c r="D10" s="25" t="s">
        <v>20</v>
      </c>
      <c r="E10" s="25" t="s">
        <v>33</v>
      </c>
      <c r="F10" s="25" t="s">
        <v>34</v>
      </c>
      <c r="G10" s="32">
        <v>45771</v>
      </c>
      <c r="H10" s="32">
        <v>45774</v>
      </c>
      <c r="I10" s="25">
        <v>3</v>
      </c>
      <c r="J10" s="33">
        <v>15468</v>
      </c>
      <c r="K10" s="25" t="s">
        <v>17</v>
      </c>
      <c r="L10" s="34" t="str">
        <f t="shared" si="0"/>
        <v>April</v>
      </c>
    </row>
    <row r="11" spans="1:13">
      <c r="A11" s="25" t="s">
        <v>46</v>
      </c>
      <c r="B11" s="25" t="s">
        <v>47</v>
      </c>
      <c r="C11" s="25">
        <v>33</v>
      </c>
      <c r="D11" s="25" t="s">
        <v>20</v>
      </c>
      <c r="E11" s="25" t="s">
        <v>48</v>
      </c>
      <c r="F11" s="25" t="s">
        <v>49</v>
      </c>
      <c r="G11" s="32">
        <v>45936</v>
      </c>
      <c r="H11" s="32">
        <v>45941</v>
      </c>
      <c r="I11" s="25">
        <v>5</v>
      </c>
      <c r="J11" s="33">
        <v>22740</v>
      </c>
      <c r="K11" s="25" t="s">
        <v>17</v>
      </c>
      <c r="L11" s="34" t="str">
        <f t="shared" si="0"/>
        <v>October</v>
      </c>
    </row>
    <row r="12" spans="1:13">
      <c r="A12" s="25" t="s">
        <v>50</v>
      </c>
      <c r="B12" s="25" t="s">
        <v>51</v>
      </c>
      <c r="C12" s="25">
        <v>31</v>
      </c>
      <c r="D12" s="25" t="s">
        <v>14</v>
      </c>
      <c r="E12" s="25" t="s">
        <v>48</v>
      </c>
      <c r="F12" s="25" t="s">
        <v>49</v>
      </c>
      <c r="G12" s="32">
        <v>45956</v>
      </c>
      <c r="H12" s="32">
        <v>45960</v>
      </c>
      <c r="I12" s="25">
        <v>4</v>
      </c>
      <c r="J12" s="33">
        <v>30044</v>
      </c>
      <c r="K12" s="25" t="s">
        <v>17</v>
      </c>
      <c r="L12" s="34" t="str">
        <f t="shared" si="0"/>
        <v>October</v>
      </c>
    </row>
    <row r="13" spans="1:13">
      <c r="A13" s="25" t="s">
        <v>52</v>
      </c>
      <c r="B13" s="25" t="s">
        <v>53</v>
      </c>
      <c r="C13" s="25">
        <v>35</v>
      </c>
      <c r="D13" s="25" t="s">
        <v>20</v>
      </c>
      <c r="E13" s="25" t="s">
        <v>23</v>
      </c>
      <c r="F13" s="25" t="s">
        <v>24</v>
      </c>
      <c r="G13" s="32">
        <v>45777</v>
      </c>
      <c r="H13" s="32">
        <v>45783</v>
      </c>
      <c r="I13" s="25">
        <v>6</v>
      </c>
      <c r="J13" s="33">
        <v>20136</v>
      </c>
      <c r="K13" s="25" t="s">
        <v>30</v>
      </c>
      <c r="L13" s="34" t="str">
        <f t="shared" si="0"/>
        <v>April</v>
      </c>
    </row>
    <row r="14" spans="1:13">
      <c r="A14" s="25" t="s">
        <v>54</v>
      </c>
      <c r="B14" s="25" t="s">
        <v>55</v>
      </c>
      <c r="C14" s="25">
        <v>45</v>
      </c>
      <c r="D14" s="25" t="s">
        <v>20</v>
      </c>
      <c r="E14" s="25" t="s">
        <v>15</v>
      </c>
      <c r="F14" s="25" t="s">
        <v>16</v>
      </c>
      <c r="G14" s="32">
        <v>45780</v>
      </c>
      <c r="H14" s="32">
        <v>45785</v>
      </c>
      <c r="I14" s="25">
        <v>5</v>
      </c>
      <c r="J14" s="33">
        <v>21220</v>
      </c>
      <c r="K14" s="25" t="s">
        <v>35</v>
      </c>
      <c r="L14" s="34" t="str">
        <f t="shared" si="0"/>
        <v>May</v>
      </c>
    </row>
    <row r="15" spans="1:13">
      <c r="A15" s="25" t="s">
        <v>56</v>
      </c>
      <c r="B15" s="25" t="s">
        <v>57</v>
      </c>
      <c r="C15" s="25">
        <v>69</v>
      </c>
      <c r="D15" s="25" t="s">
        <v>20</v>
      </c>
      <c r="E15" s="25" t="s">
        <v>23</v>
      </c>
      <c r="F15" s="25" t="s">
        <v>24</v>
      </c>
      <c r="G15" s="32">
        <v>45759</v>
      </c>
      <c r="H15" s="32">
        <v>45764</v>
      </c>
      <c r="I15" s="25">
        <v>5</v>
      </c>
      <c r="J15" s="33">
        <v>24205</v>
      </c>
      <c r="K15" s="25" t="s">
        <v>17</v>
      </c>
      <c r="L15" s="34" t="str">
        <f t="shared" si="0"/>
        <v>April</v>
      </c>
    </row>
    <row r="16" spans="1:13">
      <c r="A16" s="25" t="s">
        <v>58</v>
      </c>
      <c r="B16" s="25" t="s">
        <v>59</v>
      </c>
      <c r="C16" s="25">
        <v>66</v>
      </c>
      <c r="D16" s="25" t="s">
        <v>20</v>
      </c>
      <c r="E16" s="25" t="s">
        <v>28</v>
      </c>
      <c r="F16" s="25" t="s">
        <v>29</v>
      </c>
      <c r="G16" s="32">
        <v>45822</v>
      </c>
      <c r="H16" s="32">
        <v>45824</v>
      </c>
      <c r="I16" s="25">
        <v>2</v>
      </c>
      <c r="J16" s="33">
        <v>15082</v>
      </c>
      <c r="K16" s="25" t="s">
        <v>30</v>
      </c>
      <c r="L16" s="34" t="str">
        <f t="shared" si="0"/>
        <v>June</v>
      </c>
    </row>
    <row r="17" spans="1:12">
      <c r="A17" s="25" t="s">
        <v>60</v>
      </c>
      <c r="B17" s="25" t="s">
        <v>61</v>
      </c>
      <c r="C17" s="25">
        <v>70</v>
      </c>
      <c r="D17" s="25" t="s">
        <v>20</v>
      </c>
      <c r="E17" s="25" t="s">
        <v>23</v>
      </c>
      <c r="F17" s="25" t="s">
        <v>24</v>
      </c>
      <c r="G17" s="32">
        <v>45975</v>
      </c>
      <c r="H17" s="32">
        <v>45982</v>
      </c>
      <c r="I17" s="25">
        <v>7</v>
      </c>
      <c r="J17" s="33">
        <v>42364</v>
      </c>
      <c r="K17" s="25" t="s">
        <v>35</v>
      </c>
      <c r="L17" s="34" t="str">
        <f t="shared" si="0"/>
        <v>November</v>
      </c>
    </row>
    <row r="18" spans="1:12">
      <c r="A18" s="25" t="s">
        <v>62</v>
      </c>
      <c r="B18" s="25" t="s">
        <v>63</v>
      </c>
      <c r="C18" s="25">
        <v>34</v>
      </c>
      <c r="D18" s="25" t="s">
        <v>14</v>
      </c>
      <c r="E18" s="25" t="s">
        <v>23</v>
      </c>
      <c r="F18" s="25" t="s">
        <v>24</v>
      </c>
      <c r="G18" s="32">
        <v>45745</v>
      </c>
      <c r="H18" s="32">
        <v>45754</v>
      </c>
      <c r="I18" s="25">
        <v>9</v>
      </c>
      <c r="J18" s="33">
        <v>25470</v>
      </c>
      <c r="K18" s="25" t="s">
        <v>30</v>
      </c>
      <c r="L18" s="34" t="str">
        <f t="shared" si="0"/>
        <v>March</v>
      </c>
    </row>
    <row r="19" spans="1:12">
      <c r="A19" s="25" t="s">
        <v>64</v>
      </c>
      <c r="B19" s="25" t="s">
        <v>65</v>
      </c>
      <c r="C19" s="25">
        <v>19</v>
      </c>
      <c r="D19" s="25" t="s">
        <v>20</v>
      </c>
      <c r="E19" s="25" t="s">
        <v>48</v>
      </c>
      <c r="F19" s="25" t="s">
        <v>49</v>
      </c>
      <c r="G19" s="32">
        <v>45970</v>
      </c>
      <c r="H19" s="32">
        <v>45974</v>
      </c>
      <c r="I19" s="25">
        <v>4</v>
      </c>
      <c r="J19" s="33">
        <v>26828</v>
      </c>
      <c r="K19" s="25" t="s">
        <v>35</v>
      </c>
      <c r="L19" s="34" t="str">
        <f t="shared" si="0"/>
        <v>November</v>
      </c>
    </row>
    <row r="20" spans="1:12">
      <c r="A20" s="25" t="s">
        <v>66</v>
      </c>
      <c r="B20" s="25" t="s">
        <v>67</v>
      </c>
      <c r="C20" s="25">
        <v>70</v>
      </c>
      <c r="D20" s="25" t="s">
        <v>14</v>
      </c>
      <c r="E20" s="25" t="s">
        <v>23</v>
      </c>
      <c r="F20" s="25" t="s">
        <v>24</v>
      </c>
      <c r="G20" s="32">
        <v>45973</v>
      </c>
      <c r="H20" s="32">
        <v>45981</v>
      </c>
      <c r="I20" s="25">
        <v>8</v>
      </c>
      <c r="J20" s="33">
        <v>40616</v>
      </c>
      <c r="K20" s="25" t="s">
        <v>17</v>
      </c>
      <c r="L20" s="34" t="str">
        <f t="shared" si="0"/>
        <v>November</v>
      </c>
    </row>
    <row r="21" spans="1:12">
      <c r="A21" s="25" t="s">
        <v>68</v>
      </c>
      <c r="B21" s="25" t="s">
        <v>69</v>
      </c>
      <c r="C21" s="25">
        <v>19</v>
      </c>
      <c r="D21" s="25" t="s">
        <v>14</v>
      </c>
      <c r="E21" s="25" t="s">
        <v>15</v>
      </c>
      <c r="F21" s="25" t="s">
        <v>16</v>
      </c>
      <c r="G21" s="32">
        <v>45983</v>
      </c>
      <c r="H21" s="32">
        <v>45993</v>
      </c>
      <c r="I21" s="25">
        <v>10</v>
      </c>
      <c r="J21" s="33">
        <v>72650</v>
      </c>
      <c r="K21" s="25" t="s">
        <v>30</v>
      </c>
      <c r="L21" s="34" t="str">
        <f t="shared" si="0"/>
        <v>November</v>
      </c>
    </row>
    <row r="22" spans="1:12">
      <c r="A22" s="25" t="s">
        <v>70</v>
      </c>
      <c r="B22" s="25" t="s">
        <v>71</v>
      </c>
      <c r="C22" s="25">
        <v>18</v>
      </c>
      <c r="D22" s="25" t="s">
        <v>20</v>
      </c>
      <c r="E22" s="25" t="s">
        <v>28</v>
      </c>
      <c r="F22" s="25" t="s">
        <v>29</v>
      </c>
      <c r="G22" s="32">
        <v>45963</v>
      </c>
      <c r="H22" s="32">
        <v>45964</v>
      </c>
      <c r="I22" s="25">
        <v>1</v>
      </c>
      <c r="J22" s="33">
        <v>2691</v>
      </c>
      <c r="K22" s="25" t="s">
        <v>17</v>
      </c>
      <c r="L22" s="34" t="str">
        <f t="shared" si="0"/>
        <v>November</v>
      </c>
    </row>
    <row r="23" spans="1:12">
      <c r="A23" s="25" t="s">
        <v>72</v>
      </c>
      <c r="B23" s="25" t="s">
        <v>73</v>
      </c>
      <c r="C23" s="25">
        <v>69</v>
      </c>
      <c r="D23" s="25" t="s">
        <v>20</v>
      </c>
      <c r="E23" s="25" t="s">
        <v>15</v>
      </c>
      <c r="F23" s="25" t="s">
        <v>16</v>
      </c>
      <c r="G23" s="32">
        <v>45923</v>
      </c>
      <c r="H23" s="32">
        <v>45930</v>
      </c>
      <c r="I23" s="25">
        <v>7</v>
      </c>
      <c r="J23" s="33">
        <v>20237</v>
      </c>
      <c r="K23" s="25" t="s">
        <v>25</v>
      </c>
      <c r="L23" s="34" t="str">
        <f t="shared" si="0"/>
        <v>September</v>
      </c>
    </row>
    <row r="24" spans="1:12">
      <c r="A24" s="25" t="s">
        <v>74</v>
      </c>
      <c r="B24" s="25" t="s">
        <v>75</v>
      </c>
      <c r="C24" s="25">
        <v>78</v>
      </c>
      <c r="D24" s="25" t="s">
        <v>14</v>
      </c>
      <c r="E24" s="25" t="s">
        <v>33</v>
      </c>
      <c r="F24" s="25" t="s">
        <v>34</v>
      </c>
      <c r="G24" s="32">
        <v>45863</v>
      </c>
      <c r="H24" s="32">
        <v>45873</v>
      </c>
      <c r="I24" s="25">
        <v>10</v>
      </c>
      <c r="J24" s="33">
        <v>50100</v>
      </c>
      <c r="K24" s="25" t="s">
        <v>30</v>
      </c>
      <c r="L24" s="34" t="str">
        <f t="shared" si="0"/>
        <v>July</v>
      </c>
    </row>
    <row r="25" spans="1:12">
      <c r="A25" s="25" t="s">
        <v>76</v>
      </c>
      <c r="B25" s="25" t="s">
        <v>77</v>
      </c>
      <c r="C25" s="25">
        <v>46</v>
      </c>
      <c r="D25" s="25" t="s">
        <v>14</v>
      </c>
      <c r="E25" s="25" t="s">
        <v>28</v>
      </c>
      <c r="F25" s="25" t="s">
        <v>29</v>
      </c>
      <c r="G25" s="32">
        <v>45992</v>
      </c>
      <c r="H25" s="32">
        <v>45994</v>
      </c>
      <c r="I25" s="25">
        <v>2</v>
      </c>
      <c r="J25" s="33">
        <v>5932</v>
      </c>
      <c r="K25" s="25" t="s">
        <v>35</v>
      </c>
      <c r="L25" s="34" t="str">
        <f t="shared" si="0"/>
        <v>December</v>
      </c>
    </row>
    <row r="26" spans="1:12">
      <c r="A26" s="25" t="s">
        <v>78</v>
      </c>
      <c r="B26" s="25" t="s">
        <v>79</v>
      </c>
      <c r="C26" s="25">
        <v>36</v>
      </c>
      <c r="D26" s="25" t="s">
        <v>14</v>
      </c>
      <c r="E26" s="25" t="s">
        <v>48</v>
      </c>
      <c r="F26" s="25" t="s">
        <v>49</v>
      </c>
      <c r="G26" s="32">
        <v>45949</v>
      </c>
      <c r="H26" s="32">
        <v>45958</v>
      </c>
      <c r="I26" s="25">
        <v>9</v>
      </c>
      <c r="J26" s="33">
        <v>55647</v>
      </c>
      <c r="K26" s="25" t="s">
        <v>25</v>
      </c>
      <c r="L26" s="34" t="str">
        <f t="shared" si="0"/>
        <v>October</v>
      </c>
    </row>
    <row r="27" spans="1:12">
      <c r="A27" s="25" t="s">
        <v>80</v>
      </c>
      <c r="B27" s="25" t="s">
        <v>81</v>
      </c>
      <c r="C27" s="25">
        <v>38</v>
      </c>
      <c r="D27" s="25" t="s">
        <v>14</v>
      </c>
      <c r="E27" s="25" t="s">
        <v>33</v>
      </c>
      <c r="F27" s="25" t="s">
        <v>34</v>
      </c>
      <c r="G27" s="32">
        <v>45689</v>
      </c>
      <c r="H27" s="32">
        <v>45690</v>
      </c>
      <c r="I27" s="25">
        <v>1</v>
      </c>
      <c r="J27" s="33">
        <v>6150</v>
      </c>
      <c r="K27" s="25" t="s">
        <v>25</v>
      </c>
      <c r="L27" s="34" t="str">
        <f t="shared" si="0"/>
        <v>February</v>
      </c>
    </row>
    <row r="28" spans="1:12">
      <c r="A28" s="25" t="s">
        <v>82</v>
      </c>
      <c r="B28" s="25" t="s">
        <v>83</v>
      </c>
      <c r="C28" s="25">
        <v>78</v>
      </c>
      <c r="D28" s="25" t="s">
        <v>20</v>
      </c>
      <c r="E28" s="25" t="s">
        <v>48</v>
      </c>
      <c r="F28" s="25" t="s">
        <v>49</v>
      </c>
      <c r="G28" s="32">
        <v>45745</v>
      </c>
      <c r="H28" s="32">
        <v>45754</v>
      </c>
      <c r="I28" s="25">
        <v>9</v>
      </c>
      <c r="J28" s="33">
        <v>40338</v>
      </c>
      <c r="K28" s="25" t="s">
        <v>30</v>
      </c>
      <c r="L28" s="34" t="str">
        <f t="shared" si="0"/>
        <v>March</v>
      </c>
    </row>
    <row r="29" spans="1:12">
      <c r="A29" s="25" t="s">
        <v>84</v>
      </c>
      <c r="B29" s="25" t="s">
        <v>85</v>
      </c>
      <c r="C29" s="25">
        <v>79</v>
      </c>
      <c r="D29" s="25" t="s">
        <v>20</v>
      </c>
      <c r="E29" s="25" t="s">
        <v>28</v>
      </c>
      <c r="F29" s="25" t="s">
        <v>29</v>
      </c>
      <c r="G29" s="32">
        <v>45947</v>
      </c>
      <c r="H29" s="32">
        <v>45956</v>
      </c>
      <c r="I29" s="25">
        <v>9</v>
      </c>
      <c r="J29" s="33">
        <v>65232</v>
      </c>
      <c r="K29" s="25" t="s">
        <v>30</v>
      </c>
      <c r="L29" s="34" t="str">
        <f t="shared" si="0"/>
        <v>October</v>
      </c>
    </row>
    <row r="30" spans="1:12">
      <c r="A30" s="25" t="s">
        <v>86</v>
      </c>
      <c r="B30" s="25" t="s">
        <v>87</v>
      </c>
      <c r="C30" s="25">
        <v>67</v>
      </c>
      <c r="D30" s="25" t="s">
        <v>20</v>
      </c>
      <c r="E30" s="25" t="s">
        <v>33</v>
      </c>
      <c r="F30" s="25" t="s">
        <v>34</v>
      </c>
      <c r="G30" s="32">
        <v>45667</v>
      </c>
      <c r="H30" s="32">
        <v>45675</v>
      </c>
      <c r="I30" s="25">
        <v>8</v>
      </c>
      <c r="J30" s="33">
        <v>61880</v>
      </c>
      <c r="K30" s="25" t="s">
        <v>17</v>
      </c>
      <c r="L30" s="34" t="str">
        <f t="shared" si="0"/>
        <v>January</v>
      </c>
    </row>
    <row r="31" spans="1:12">
      <c r="A31" s="25" t="s">
        <v>88</v>
      </c>
      <c r="B31" s="25" t="s">
        <v>89</v>
      </c>
      <c r="C31" s="25">
        <v>51</v>
      </c>
      <c r="D31" s="25" t="s">
        <v>14</v>
      </c>
      <c r="E31" s="25" t="s">
        <v>33</v>
      </c>
      <c r="F31" s="25" t="s">
        <v>34</v>
      </c>
      <c r="G31" s="32">
        <v>45761</v>
      </c>
      <c r="H31" s="32">
        <v>45767</v>
      </c>
      <c r="I31" s="25">
        <v>6</v>
      </c>
      <c r="J31" s="33">
        <v>45666</v>
      </c>
      <c r="K31" s="25" t="s">
        <v>30</v>
      </c>
      <c r="L31" s="34" t="str">
        <f t="shared" si="0"/>
        <v>April</v>
      </c>
    </row>
    <row r="32" spans="1:12">
      <c r="A32" s="25" t="s">
        <v>90</v>
      </c>
      <c r="B32" s="25" t="s">
        <v>91</v>
      </c>
      <c r="C32" s="25">
        <v>73</v>
      </c>
      <c r="D32" s="25" t="s">
        <v>20</v>
      </c>
      <c r="E32" s="25" t="s">
        <v>33</v>
      </c>
      <c r="F32" s="25" t="s">
        <v>34</v>
      </c>
      <c r="G32" s="32">
        <v>45878</v>
      </c>
      <c r="H32" s="32">
        <v>45887</v>
      </c>
      <c r="I32" s="25">
        <v>9</v>
      </c>
      <c r="J32" s="33">
        <v>46008</v>
      </c>
      <c r="K32" s="25" t="s">
        <v>17</v>
      </c>
      <c r="L32" s="34" t="str">
        <f t="shared" si="0"/>
        <v>August</v>
      </c>
    </row>
    <row r="33" spans="1:12">
      <c r="A33" s="25" t="s">
        <v>92</v>
      </c>
      <c r="B33" s="25" t="s">
        <v>93</v>
      </c>
      <c r="C33" s="25">
        <v>70</v>
      </c>
      <c r="D33" s="25" t="s">
        <v>20</v>
      </c>
      <c r="E33" s="25" t="s">
        <v>28</v>
      </c>
      <c r="F33" s="25" t="s">
        <v>29</v>
      </c>
      <c r="G33" s="32">
        <v>45909</v>
      </c>
      <c r="H33" s="32">
        <v>45912</v>
      </c>
      <c r="I33" s="25">
        <v>3</v>
      </c>
      <c r="J33" s="33">
        <v>26334</v>
      </c>
      <c r="K33" s="25" t="s">
        <v>25</v>
      </c>
      <c r="L33" s="34" t="str">
        <f t="shared" si="0"/>
        <v>September</v>
      </c>
    </row>
    <row r="34" spans="1:12">
      <c r="A34" s="25" t="s">
        <v>94</v>
      </c>
      <c r="B34" s="25" t="s">
        <v>95</v>
      </c>
      <c r="C34" s="25">
        <v>64</v>
      </c>
      <c r="D34" s="25" t="s">
        <v>14</v>
      </c>
      <c r="E34" s="25" t="s">
        <v>28</v>
      </c>
      <c r="F34" s="25" t="s">
        <v>29</v>
      </c>
      <c r="G34" s="32">
        <v>45707</v>
      </c>
      <c r="H34" s="32">
        <v>45713</v>
      </c>
      <c r="I34" s="25">
        <v>6</v>
      </c>
      <c r="J34" s="33">
        <v>44832</v>
      </c>
      <c r="K34" s="25" t="s">
        <v>30</v>
      </c>
      <c r="L34" s="34" t="str">
        <f t="shared" si="0"/>
        <v>February</v>
      </c>
    </row>
    <row r="35" spans="1:12">
      <c r="A35" s="25" t="s">
        <v>96</v>
      </c>
      <c r="B35" s="25" t="s">
        <v>97</v>
      </c>
      <c r="C35" s="25">
        <v>79</v>
      </c>
      <c r="D35" s="25" t="s">
        <v>20</v>
      </c>
      <c r="E35" s="25" t="s">
        <v>23</v>
      </c>
      <c r="F35" s="25" t="s">
        <v>24</v>
      </c>
      <c r="G35" s="32">
        <v>45959</v>
      </c>
      <c r="H35" s="32">
        <v>45964</v>
      </c>
      <c r="I35" s="25">
        <v>5</v>
      </c>
      <c r="J35" s="33">
        <v>28505</v>
      </c>
      <c r="K35" s="25" t="s">
        <v>25</v>
      </c>
      <c r="L35" s="34" t="str">
        <f t="shared" si="0"/>
        <v>October</v>
      </c>
    </row>
    <row r="36" spans="1:12">
      <c r="A36" s="25" t="s">
        <v>98</v>
      </c>
      <c r="B36" s="25" t="s">
        <v>99</v>
      </c>
      <c r="C36" s="25">
        <v>31</v>
      </c>
      <c r="D36" s="25" t="s">
        <v>14</v>
      </c>
      <c r="E36" s="25" t="s">
        <v>48</v>
      </c>
      <c r="F36" s="25" t="s">
        <v>49</v>
      </c>
      <c r="G36" s="32">
        <v>45677</v>
      </c>
      <c r="H36" s="32">
        <v>45682</v>
      </c>
      <c r="I36" s="25">
        <v>5</v>
      </c>
      <c r="J36" s="33">
        <v>33345</v>
      </c>
      <c r="K36" s="25" t="s">
        <v>35</v>
      </c>
      <c r="L36" s="34" t="str">
        <f t="shared" si="0"/>
        <v>January</v>
      </c>
    </row>
    <row r="37" spans="1:12">
      <c r="A37" s="25" t="s">
        <v>100</v>
      </c>
      <c r="B37" s="25" t="s">
        <v>101</v>
      </c>
      <c r="C37" s="25">
        <v>60</v>
      </c>
      <c r="D37" s="25" t="s">
        <v>20</v>
      </c>
      <c r="E37" s="25" t="s">
        <v>28</v>
      </c>
      <c r="F37" s="25" t="s">
        <v>29</v>
      </c>
      <c r="G37" s="32">
        <v>45660</v>
      </c>
      <c r="H37" s="32">
        <v>45666</v>
      </c>
      <c r="I37" s="25">
        <v>6</v>
      </c>
      <c r="J37" s="33">
        <v>29484</v>
      </c>
      <c r="K37" s="25" t="s">
        <v>25</v>
      </c>
      <c r="L37" s="34" t="str">
        <f t="shared" si="0"/>
        <v>January</v>
      </c>
    </row>
    <row r="38" spans="1:12">
      <c r="A38" s="25" t="s">
        <v>102</v>
      </c>
      <c r="B38" s="25" t="s">
        <v>103</v>
      </c>
      <c r="C38" s="25">
        <v>24</v>
      </c>
      <c r="D38" s="25" t="s">
        <v>20</v>
      </c>
      <c r="E38" s="25" t="s">
        <v>33</v>
      </c>
      <c r="F38" s="25" t="s">
        <v>34</v>
      </c>
      <c r="G38" s="32">
        <v>45936</v>
      </c>
      <c r="H38" s="32">
        <v>45945</v>
      </c>
      <c r="I38" s="25">
        <v>9</v>
      </c>
      <c r="J38" s="33">
        <v>47619</v>
      </c>
      <c r="K38" s="25" t="s">
        <v>17</v>
      </c>
      <c r="L38" s="34" t="str">
        <f t="shared" si="0"/>
        <v>October</v>
      </c>
    </row>
    <row r="39" spans="1:12">
      <c r="A39" s="25" t="s">
        <v>104</v>
      </c>
      <c r="B39" s="25" t="s">
        <v>105</v>
      </c>
      <c r="C39" s="25">
        <v>65</v>
      </c>
      <c r="D39" s="25" t="s">
        <v>20</v>
      </c>
      <c r="E39" s="25" t="s">
        <v>23</v>
      </c>
      <c r="F39" s="25" t="s">
        <v>24</v>
      </c>
      <c r="G39" s="32">
        <v>45802</v>
      </c>
      <c r="H39" s="32">
        <v>45805</v>
      </c>
      <c r="I39" s="25">
        <v>3</v>
      </c>
      <c r="J39" s="33">
        <v>13368</v>
      </c>
      <c r="K39" s="25" t="s">
        <v>30</v>
      </c>
      <c r="L39" s="34" t="str">
        <f t="shared" si="0"/>
        <v>May</v>
      </c>
    </row>
    <row r="40" spans="1:12">
      <c r="A40" s="25" t="s">
        <v>106</v>
      </c>
      <c r="B40" s="25" t="s">
        <v>107</v>
      </c>
      <c r="C40" s="25">
        <v>44</v>
      </c>
      <c r="D40" s="25" t="s">
        <v>20</v>
      </c>
      <c r="E40" s="25" t="s">
        <v>48</v>
      </c>
      <c r="F40" s="25" t="s">
        <v>49</v>
      </c>
      <c r="G40" s="32">
        <v>45864</v>
      </c>
      <c r="H40" s="32">
        <v>45866</v>
      </c>
      <c r="I40" s="25">
        <v>2</v>
      </c>
      <c r="J40" s="33">
        <v>9540</v>
      </c>
      <c r="K40" s="25" t="s">
        <v>17</v>
      </c>
      <c r="L40" s="34" t="str">
        <f t="shared" si="0"/>
        <v>July</v>
      </c>
    </row>
    <row r="41" spans="1:12">
      <c r="A41" s="25" t="s">
        <v>108</v>
      </c>
      <c r="B41" s="25" t="s">
        <v>109</v>
      </c>
      <c r="C41" s="25">
        <v>55</v>
      </c>
      <c r="D41" s="25" t="s">
        <v>20</v>
      </c>
      <c r="E41" s="25" t="s">
        <v>40</v>
      </c>
      <c r="F41" s="25" t="s">
        <v>41</v>
      </c>
      <c r="G41" s="32">
        <v>46007</v>
      </c>
      <c r="H41" s="32">
        <v>46011</v>
      </c>
      <c r="I41" s="25">
        <v>4</v>
      </c>
      <c r="J41" s="33">
        <v>11508</v>
      </c>
      <c r="K41" s="25" t="s">
        <v>25</v>
      </c>
      <c r="L41" s="34" t="str">
        <f t="shared" si="0"/>
        <v>December</v>
      </c>
    </row>
    <row r="42" spans="1:12">
      <c r="A42" s="25" t="s">
        <v>110</v>
      </c>
      <c r="B42" s="25" t="s">
        <v>111</v>
      </c>
      <c r="C42" s="25">
        <v>63</v>
      </c>
      <c r="D42" s="25" t="s">
        <v>14</v>
      </c>
      <c r="E42" s="25" t="s">
        <v>33</v>
      </c>
      <c r="F42" s="25" t="s">
        <v>34</v>
      </c>
      <c r="G42" s="32">
        <v>45780</v>
      </c>
      <c r="H42" s="32">
        <v>45789</v>
      </c>
      <c r="I42" s="25">
        <v>9</v>
      </c>
      <c r="J42" s="33">
        <v>74826</v>
      </c>
      <c r="K42" s="25" t="s">
        <v>35</v>
      </c>
      <c r="L42" s="34" t="str">
        <f t="shared" si="0"/>
        <v>May</v>
      </c>
    </row>
    <row r="43" spans="1:12">
      <c r="A43" s="25" t="s">
        <v>112</v>
      </c>
      <c r="B43" s="25" t="s">
        <v>113</v>
      </c>
      <c r="C43" s="25">
        <v>60</v>
      </c>
      <c r="D43" s="25" t="s">
        <v>14</v>
      </c>
      <c r="E43" s="25" t="s">
        <v>15</v>
      </c>
      <c r="F43" s="25" t="s">
        <v>16</v>
      </c>
      <c r="G43" s="32">
        <v>45835</v>
      </c>
      <c r="H43" s="32">
        <v>45841</v>
      </c>
      <c r="I43" s="25">
        <v>6</v>
      </c>
      <c r="J43" s="33">
        <v>27246</v>
      </c>
      <c r="K43" s="25" t="s">
        <v>25</v>
      </c>
      <c r="L43" s="34" t="str">
        <f t="shared" si="0"/>
        <v>June</v>
      </c>
    </row>
    <row r="44" spans="1:12">
      <c r="A44" s="25" t="s">
        <v>114</v>
      </c>
      <c r="B44" s="25" t="s">
        <v>115</v>
      </c>
      <c r="C44" s="25">
        <v>42</v>
      </c>
      <c r="D44" s="25" t="s">
        <v>20</v>
      </c>
      <c r="E44" s="25" t="s">
        <v>15</v>
      </c>
      <c r="F44" s="25" t="s">
        <v>16</v>
      </c>
      <c r="G44" s="32">
        <v>46000</v>
      </c>
      <c r="H44" s="32">
        <v>46010</v>
      </c>
      <c r="I44" s="25">
        <v>10</v>
      </c>
      <c r="J44" s="33">
        <v>51640</v>
      </c>
      <c r="K44" s="25" t="s">
        <v>25</v>
      </c>
      <c r="L44" s="34" t="str">
        <f t="shared" si="0"/>
        <v>December</v>
      </c>
    </row>
    <row r="45" spans="1:12">
      <c r="A45" s="25" t="s">
        <v>116</v>
      </c>
      <c r="B45" s="25" t="s">
        <v>117</v>
      </c>
      <c r="C45" s="25">
        <v>35</v>
      </c>
      <c r="D45" s="25" t="s">
        <v>14</v>
      </c>
      <c r="E45" s="25" t="s">
        <v>23</v>
      </c>
      <c r="F45" s="25" t="s">
        <v>24</v>
      </c>
      <c r="G45" s="32">
        <v>45841</v>
      </c>
      <c r="H45" s="32">
        <v>45849</v>
      </c>
      <c r="I45" s="25">
        <v>8</v>
      </c>
      <c r="J45" s="33">
        <v>32520</v>
      </c>
      <c r="K45" s="25" t="s">
        <v>25</v>
      </c>
      <c r="L45" s="34" t="str">
        <f t="shared" si="0"/>
        <v>July</v>
      </c>
    </row>
    <row r="46" spans="1:12">
      <c r="A46" s="25" t="s">
        <v>118</v>
      </c>
      <c r="B46" s="25" t="s">
        <v>119</v>
      </c>
      <c r="C46" s="25">
        <v>28</v>
      </c>
      <c r="D46" s="25" t="s">
        <v>20</v>
      </c>
      <c r="E46" s="25" t="s">
        <v>23</v>
      </c>
      <c r="F46" s="25" t="s">
        <v>24</v>
      </c>
      <c r="G46" s="32">
        <v>46020</v>
      </c>
      <c r="H46" s="32">
        <v>46022</v>
      </c>
      <c r="I46" s="25">
        <v>2</v>
      </c>
      <c r="J46" s="33">
        <v>11980</v>
      </c>
      <c r="K46" s="25" t="s">
        <v>25</v>
      </c>
      <c r="L46" s="34" t="str">
        <f t="shared" si="0"/>
        <v>December</v>
      </c>
    </row>
    <row r="47" spans="1:12">
      <c r="A47" s="25" t="s">
        <v>120</v>
      </c>
      <c r="B47" s="25" t="s">
        <v>121</v>
      </c>
      <c r="C47" s="25">
        <v>21</v>
      </c>
      <c r="D47" s="25" t="s">
        <v>20</v>
      </c>
      <c r="E47" s="25" t="s">
        <v>48</v>
      </c>
      <c r="F47" s="25" t="s">
        <v>49</v>
      </c>
      <c r="G47" s="32">
        <v>45847</v>
      </c>
      <c r="H47" s="32">
        <v>45848</v>
      </c>
      <c r="I47" s="25">
        <v>1</v>
      </c>
      <c r="J47" s="33">
        <v>5757</v>
      </c>
      <c r="K47" s="25" t="s">
        <v>35</v>
      </c>
      <c r="L47" s="34" t="str">
        <f t="shared" si="0"/>
        <v>July</v>
      </c>
    </row>
    <row r="48" spans="1:12">
      <c r="A48" s="25" t="s">
        <v>122</v>
      </c>
      <c r="B48" s="25" t="s">
        <v>123</v>
      </c>
      <c r="C48" s="25">
        <v>35</v>
      </c>
      <c r="D48" s="25" t="s">
        <v>14</v>
      </c>
      <c r="E48" s="25" t="s">
        <v>48</v>
      </c>
      <c r="F48" s="25" t="s">
        <v>49</v>
      </c>
      <c r="G48" s="32">
        <v>45818</v>
      </c>
      <c r="H48" s="32">
        <v>45826</v>
      </c>
      <c r="I48" s="25">
        <v>8</v>
      </c>
      <c r="J48" s="33">
        <v>23680</v>
      </c>
      <c r="K48" s="25" t="s">
        <v>35</v>
      </c>
      <c r="L48" s="34" t="str">
        <f t="shared" si="0"/>
        <v>June</v>
      </c>
    </row>
    <row r="49" spans="1:12">
      <c r="A49" s="25" t="s">
        <v>124</v>
      </c>
      <c r="B49" s="25" t="s">
        <v>125</v>
      </c>
      <c r="C49" s="25">
        <v>45</v>
      </c>
      <c r="D49" s="25" t="s">
        <v>14</v>
      </c>
      <c r="E49" s="25" t="s">
        <v>33</v>
      </c>
      <c r="F49" s="25" t="s">
        <v>34</v>
      </c>
      <c r="G49" s="32">
        <v>45754</v>
      </c>
      <c r="H49" s="32">
        <v>45758</v>
      </c>
      <c r="I49" s="25">
        <v>4</v>
      </c>
      <c r="J49" s="33">
        <v>33696</v>
      </c>
      <c r="K49" s="25" t="s">
        <v>35</v>
      </c>
      <c r="L49" s="34" t="str">
        <f t="shared" si="0"/>
        <v>April</v>
      </c>
    </row>
    <row r="50" spans="1:12">
      <c r="A50" s="25" t="s">
        <v>126</v>
      </c>
      <c r="B50" s="25" t="s">
        <v>127</v>
      </c>
      <c r="C50" s="25">
        <v>73</v>
      </c>
      <c r="D50" s="25" t="s">
        <v>14</v>
      </c>
      <c r="E50" s="25" t="s">
        <v>28</v>
      </c>
      <c r="F50" s="25" t="s">
        <v>29</v>
      </c>
      <c r="G50" s="32">
        <v>45834</v>
      </c>
      <c r="H50" s="32">
        <v>45836</v>
      </c>
      <c r="I50" s="25">
        <v>2</v>
      </c>
      <c r="J50" s="33">
        <v>8812</v>
      </c>
      <c r="K50" s="25" t="s">
        <v>17</v>
      </c>
      <c r="L50" s="34" t="str">
        <f t="shared" si="0"/>
        <v>June</v>
      </c>
    </row>
    <row r="51" spans="1:12">
      <c r="A51" s="25" t="s">
        <v>128</v>
      </c>
      <c r="B51" s="25" t="s">
        <v>129</v>
      </c>
      <c r="C51" s="25">
        <v>79</v>
      </c>
      <c r="D51" s="25" t="s">
        <v>20</v>
      </c>
      <c r="E51" s="25" t="s">
        <v>48</v>
      </c>
      <c r="F51" s="25" t="s">
        <v>49</v>
      </c>
      <c r="G51" s="32">
        <v>45812</v>
      </c>
      <c r="H51" s="32">
        <v>45817</v>
      </c>
      <c r="I51" s="25">
        <v>5</v>
      </c>
      <c r="J51" s="33">
        <v>33975</v>
      </c>
      <c r="K51" s="25" t="s">
        <v>17</v>
      </c>
      <c r="L51" s="34" t="str">
        <f t="shared" si="0"/>
        <v>June</v>
      </c>
    </row>
    <row r="52" spans="1:12">
      <c r="A52" s="25" t="s">
        <v>130</v>
      </c>
      <c r="B52" s="25" t="s">
        <v>131</v>
      </c>
      <c r="C52" s="25">
        <v>72</v>
      </c>
      <c r="D52" s="25" t="s">
        <v>14</v>
      </c>
      <c r="E52" s="25" t="s">
        <v>15</v>
      </c>
      <c r="F52" s="25" t="s">
        <v>16</v>
      </c>
      <c r="G52" s="32">
        <v>45801</v>
      </c>
      <c r="H52" s="32">
        <v>45804</v>
      </c>
      <c r="I52" s="25">
        <v>3</v>
      </c>
      <c r="J52" s="33">
        <v>15285</v>
      </c>
      <c r="K52" s="25" t="s">
        <v>17</v>
      </c>
      <c r="L52" s="34" t="str">
        <f t="shared" si="0"/>
        <v>May</v>
      </c>
    </row>
    <row r="53" spans="1:12">
      <c r="A53" s="25" t="s">
        <v>132</v>
      </c>
      <c r="B53" s="25" t="s">
        <v>133</v>
      </c>
      <c r="C53" s="25">
        <v>33</v>
      </c>
      <c r="D53" s="25" t="s">
        <v>20</v>
      </c>
      <c r="E53" s="25" t="s">
        <v>40</v>
      </c>
      <c r="F53" s="25" t="s">
        <v>41</v>
      </c>
      <c r="G53" s="32">
        <v>45779</v>
      </c>
      <c r="H53" s="32">
        <v>45788</v>
      </c>
      <c r="I53" s="25">
        <v>9</v>
      </c>
      <c r="J53" s="33">
        <v>38655</v>
      </c>
      <c r="K53" s="25" t="s">
        <v>25</v>
      </c>
      <c r="L53" s="34" t="str">
        <f t="shared" si="0"/>
        <v>May</v>
      </c>
    </row>
    <row r="54" spans="1:12">
      <c r="A54" s="25" t="s">
        <v>134</v>
      </c>
      <c r="B54" s="25" t="s">
        <v>135</v>
      </c>
      <c r="C54" s="25">
        <v>52</v>
      </c>
      <c r="D54" s="25" t="s">
        <v>14</v>
      </c>
      <c r="E54" s="25" t="s">
        <v>23</v>
      </c>
      <c r="F54" s="25" t="s">
        <v>24</v>
      </c>
      <c r="G54" s="32">
        <v>45960</v>
      </c>
      <c r="H54" s="32">
        <v>45966</v>
      </c>
      <c r="I54" s="25">
        <v>6</v>
      </c>
      <c r="J54" s="33">
        <v>43260</v>
      </c>
      <c r="K54" s="25" t="s">
        <v>17</v>
      </c>
      <c r="L54" s="34" t="str">
        <f t="shared" si="0"/>
        <v>October</v>
      </c>
    </row>
    <row r="55" spans="1:12">
      <c r="A55" s="25" t="s">
        <v>136</v>
      </c>
      <c r="B55" s="25" t="s">
        <v>137</v>
      </c>
      <c r="C55" s="25">
        <v>56</v>
      </c>
      <c r="D55" s="25" t="s">
        <v>14</v>
      </c>
      <c r="E55" s="25" t="s">
        <v>33</v>
      </c>
      <c r="F55" s="25" t="s">
        <v>34</v>
      </c>
      <c r="G55" s="32">
        <v>45989</v>
      </c>
      <c r="H55" s="32">
        <v>45991</v>
      </c>
      <c r="I55" s="25">
        <v>2</v>
      </c>
      <c r="J55" s="33">
        <v>17826</v>
      </c>
      <c r="K55" s="25" t="s">
        <v>17</v>
      </c>
      <c r="L55" s="34" t="str">
        <f t="shared" si="0"/>
        <v>November</v>
      </c>
    </row>
    <row r="56" spans="1:12">
      <c r="A56" s="25" t="s">
        <v>138</v>
      </c>
      <c r="B56" s="25" t="s">
        <v>139</v>
      </c>
      <c r="C56" s="25">
        <v>76</v>
      </c>
      <c r="D56" s="25" t="s">
        <v>20</v>
      </c>
      <c r="E56" s="25" t="s">
        <v>28</v>
      </c>
      <c r="F56" s="25" t="s">
        <v>29</v>
      </c>
      <c r="G56" s="32">
        <v>45712</v>
      </c>
      <c r="H56" s="32">
        <v>45716</v>
      </c>
      <c r="I56" s="25">
        <v>4</v>
      </c>
      <c r="J56" s="33">
        <v>11932</v>
      </c>
      <c r="K56" s="25" t="s">
        <v>35</v>
      </c>
      <c r="L56" s="34" t="str">
        <f t="shared" si="0"/>
        <v>February</v>
      </c>
    </row>
    <row r="57" spans="1:12">
      <c r="A57" s="25" t="s">
        <v>140</v>
      </c>
      <c r="B57" s="25" t="s">
        <v>141</v>
      </c>
      <c r="C57" s="25">
        <v>69</v>
      </c>
      <c r="D57" s="25" t="s">
        <v>20</v>
      </c>
      <c r="E57" s="25" t="s">
        <v>33</v>
      </c>
      <c r="F57" s="25" t="s">
        <v>34</v>
      </c>
      <c r="G57" s="32">
        <v>45938</v>
      </c>
      <c r="H57" s="32">
        <v>45941</v>
      </c>
      <c r="I57" s="25">
        <v>3</v>
      </c>
      <c r="J57" s="33">
        <v>20472</v>
      </c>
      <c r="K57" s="25" t="s">
        <v>35</v>
      </c>
      <c r="L57" s="34" t="str">
        <f t="shared" si="0"/>
        <v>October</v>
      </c>
    </row>
    <row r="58" spans="1:12">
      <c r="A58" s="25" t="s">
        <v>142</v>
      </c>
      <c r="B58" s="25" t="s">
        <v>143</v>
      </c>
      <c r="C58" s="25">
        <v>40</v>
      </c>
      <c r="D58" s="25" t="s">
        <v>14</v>
      </c>
      <c r="E58" s="25" t="s">
        <v>23</v>
      </c>
      <c r="F58" s="25" t="s">
        <v>24</v>
      </c>
      <c r="G58" s="32">
        <v>45700</v>
      </c>
      <c r="H58" s="32">
        <v>45703</v>
      </c>
      <c r="I58" s="25">
        <v>3</v>
      </c>
      <c r="J58" s="33">
        <v>13650</v>
      </c>
      <c r="K58" s="25" t="s">
        <v>17</v>
      </c>
      <c r="L58" s="34" t="str">
        <f t="shared" si="0"/>
        <v>February</v>
      </c>
    </row>
    <row r="59" spans="1:12">
      <c r="A59" s="25" t="s">
        <v>144</v>
      </c>
      <c r="B59" s="25" t="s">
        <v>145</v>
      </c>
      <c r="C59" s="25">
        <v>68</v>
      </c>
      <c r="D59" s="25" t="s">
        <v>14</v>
      </c>
      <c r="E59" s="25" t="s">
        <v>40</v>
      </c>
      <c r="F59" s="25" t="s">
        <v>41</v>
      </c>
      <c r="G59" s="32">
        <v>45911</v>
      </c>
      <c r="H59" s="32">
        <v>45920</v>
      </c>
      <c r="I59" s="25">
        <v>9</v>
      </c>
      <c r="J59" s="33">
        <v>42597</v>
      </c>
      <c r="K59" s="25" t="s">
        <v>17</v>
      </c>
      <c r="L59" s="34" t="str">
        <f t="shared" si="0"/>
        <v>September</v>
      </c>
    </row>
    <row r="60" spans="1:12">
      <c r="A60" s="25" t="s">
        <v>146</v>
      </c>
      <c r="B60" s="25" t="s">
        <v>147</v>
      </c>
      <c r="C60" s="25">
        <v>46</v>
      </c>
      <c r="D60" s="25" t="s">
        <v>14</v>
      </c>
      <c r="E60" s="25" t="s">
        <v>48</v>
      </c>
      <c r="F60" s="25" t="s">
        <v>49</v>
      </c>
      <c r="G60" s="32">
        <v>45958</v>
      </c>
      <c r="H60" s="32">
        <v>45968</v>
      </c>
      <c r="I60" s="25">
        <v>10</v>
      </c>
      <c r="J60" s="33">
        <v>46690</v>
      </c>
      <c r="K60" s="25" t="s">
        <v>35</v>
      </c>
      <c r="L60" s="34" t="str">
        <f t="shared" si="0"/>
        <v>October</v>
      </c>
    </row>
    <row r="61" spans="1:12">
      <c r="A61" s="25" t="s">
        <v>148</v>
      </c>
      <c r="B61" s="25" t="s">
        <v>149</v>
      </c>
      <c r="C61" s="25">
        <v>68</v>
      </c>
      <c r="D61" s="25" t="s">
        <v>20</v>
      </c>
      <c r="E61" s="25" t="s">
        <v>15</v>
      </c>
      <c r="F61" s="25" t="s">
        <v>16</v>
      </c>
      <c r="G61" s="32">
        <v>45767</v>
      </c>
      <c r="H61" s="32">
        <v>45772</v>
      </c>
      <c r="I61" s="25">
        <v>5</v>
      </c>
      <c r="J61" s="33">
        <v>22205</v>
      </c>
      <c r="K61" s="25" t="s">
        <v>17</v>
      </c>
      <c r="L61" s="34" t="str">
        <f t="shared" si="0"/>
        <v>April</v>
      </c>
    </row>
    <row r="62" spans="1:12">
      <c r="A62" s="25" t="s">
        <v>150</v>
      </c>
      <c r="B62" s="25" t="s">
        <v>151</v>
      </c>
      <c r="C62" s="25">
        <v>64</v>
      </c>
      <c r="D62" s="25" t="s">
        <v>20</v>
      </c>
      <c r="E62" s="25" t="s">
        <v>40</v>
      </c>
      <c r="F62" s="25" t="s">
        <v>41</v>
      </c>
      <c r="G62" s="32">
        <v>45964</v>
      </c>
      <c r="H62" s="32">
        <v>45969</v>
      </c>
      <c r="I62" s="25">
        <v>5</v>
      </c>
      <c r="J62" s="33">
        <v>28065</v>
      </c>
      <c r="K62" s="25" t="s">
        <v>25</v>
      </c>
      <c r="L62" s="34" t="str">
        <f t="shared" si="0"/>
        <v>November</v>
      </c>
    </row>
    <row r="63" spans="1:12">
      <c r="A63" s="25" t="s">
        <v>152</v>
      </c>
      <c r="B63" s="25" t="s">
        <v>153</v>
      </c>
      <c r="C63" s="25">
        <v>65</v>
      </c>
      <c r="D63" s="25" t="s">
        <v>14</v>
      </c>
      <c r="E63" s="25" t="s">
        <v>40</v>
      </c>
      <c r="F63" s="25" t="s">
        <v>41</v>
      </c>
      <c r="G63" s="32">
        <v>45678</v>
      </c>
      <c r="H63" s="32">
        <v>45686</v>
      </c>
      <c r="I63" s="25">
        <v>8</v>
      </c>
      <c r="J63" s="33">
        <v>66448</v>
      </c>
      <c r="K63" s="25" t="s">
        <v>30</v>
      </c>
      <c r="L63" s="34" t="str">
        <f t="shared" si="0"/>
        <v>January</v>
      </c>
    </row>
    <row r="64" spans="1:12">
      <c r="A64" s="25" t="s">
        <v>154</v>
      </c>
      <c r="B64" s="25" t="s">
        <v>155</v>
      </c>
      <c r="C64" s="25">
        <v>49</v>
      </c>
      <c r="D64" s="25" t="s">
        <v>14</v>
      </c>
      <c r="E64" s="25" t="s">
        <v>23</v>
      </c>
      <c r="F64" s="25" t="s">
        <v>24</v>
      </c>
      <c r="G64" s="32">
        <v>45883</v>
      </c>
      <c r="H64" s="32">
        <v>45885</v>
      </c>
      <c r="I64" s="25">
        <v>2</v>
      </c>
      <c r="J64" s="33">
        <v>11308</v>
      </c>
      <c r="K64" s="25" t="s">
        <v>35</v>
      </c>
      <c r="L64" s="34" t="str">
        <f t="shared" si="0"/>
        <v>August</v>
      </c>
    </row>
    <row r="65" spans="1:12">
      <c r="A65" s="25" t="s">
        <v>156</v>
      </c>
      <c r="B65" s="25" t="s">
        <v>157</v>
      </c>
      <c r="C65" s="25">
        <v>63</v>
      </c>
      <c r="D65" s="25" t="s">
        <v>20</v>
      </c>
      <c r="E65" s="25" t="s">
        <v>28</v>
      </c>
      <c r="F65" s="25" t="s">
        <v>29</v>
      </c>
      <c r="G65" s="32">
        <v>45698</v>
      </c>
      <c r="H65" s="32">
        <v>45708</v>
      </c>
      <c r="I65" s="25">
        <v>10</v>
      </c>
      <c r="J65" s="33">
        <v>87550</v>
      </c>
      <c r="K65" s="25" t="s">
        <v>30</v>
      </c>
      <c r="L65" s="34" t="str">
        <f t="shared" si="0"/>
        <v>February</v>
      </c>
    </row>
    <row r="66" spans="1:12">
      <c r="A66" s="25" t="s">
        <v>158</v>
      </c>
      <c r="B66" s="25" t="s">
        <v>159</v>
      </c>
      <c r="C66" s="25">
        <v>57</v>
      </c>
      <c r="D66" s="25" t="s">
        <v>20</v>
      </c>
      <c r="E66" s="25" t="s">
        <v>40</v>
      </c>
      <c r="F66" s="25" t="s">
        <v>41</v>
      </c>
      <c r="G66" s="32">
        <v>45765</v>
      </c>
      <c r="H66" s="32">
        <v>45771</v>
      </c>
      <c r="I66" s="25">
        <v>6</v>
      </c>
      <c r="J66" s="33">
        <v>38988</v>
      </c>
      <c r="K66" s="25" t="s">
        <v>25</v>
      </c>
      <c r="L66" s="34" t="str">
        <f t="shared" si="0"/>
        <v>April</v>
      </c>
    </row>
    <row r="67" spans="1:12">
      <c r="A67" s="25" t="s">
        <v>160</v>
      </c>
      <c r="B67" s="25" t="s">
        <v>161</v>
      </c>
      <c r="C67" s="25">
        <v>55</v>
      </c>
      <c r="D67" s="25" t="s">
        <v>14</v>
      </c>
      <c r="E67" s="25" t="s">
        <v>23</v>
      </c>
      <c r="F67" s="25" t="s">
        <v>24</v>
      </c>
      <c r="G67" s="32">
        <v>45787</v>
      </c>
      <c r="H67" s="32">
        <v>45796</v>
      </c>
      <c r="I67" s="25">
        <v>9</v>
      </c>
      <c r="J67" s="33">
        <v>49770</v>
      </c>
      <c r="K67" s="25" t="s">
        <v>25</v>
      </c>
      <c r="L67" s="34" t="str">
        <f t="shared" si="0"/>
        <v>May</v>
      </c>
    </row>
    <row r="68" spans="1:12">
      <c r="A68" s="25" t="s">
        <v>162</v>
      </c>
      <c r="B68" s="25" t="s">
        <v>163</v>
      </c>
      <c r="C68" s="25">
        <v>68</v>
      </c>
      <c r="D68" s="25" t="s">
        <v>20</v>
      </c>
      <c r="E68" s="25" t="s">
        <v>28</v>
      </c>
      <c r="F68" s="25" t="s">
        <v>29</v>
      </c>
      <c r="G68" s="32">
        <v>45713</v>
      </c>
      <c r="H68" s="32">
        <v>45723</v>
      </c>
      <c r="I68" s="25">
        <v>10</v>
      </c>
      <c r="J68" s="33">
        <v>88020</v>
      </c>
      <c r="K68" s="25" t="s">
        <v>35</v>
      </c>
      <c r="L68" s="34" t="str">
        <f t="shared" ref="L68:L131" si="1">TEXT(G68,"mmmm")</f>
        <v>February</v>
      </c>
    </row>
    <row r="69" spans="1:12">
      <c r="A69" s="25" t="s">
        <v>164</v>
      </c>
      <c r="B69" s="25" t="s">
        <v>165</v>
      </c>
      <c r="C69" s="25">
        <v>69</v>
      </c>
      <c r="D69" s="25" t="s">
        <v>20</v>
      </c>
      <c r="E69" s="25" t="s">
        <v>40</v>
      </c>
      <c r="F69" s="25" t="s">
        <v>41</v>
      </c>
      <c r="G69" s="32">
        <v>45832</v>
      </c>
      <c r="H69" s="32">
        <v>45840</v>
      </c>
      <c r="I69" s="25">
        <v>8</v>
      </c>
      <c r="J69" s="33">
        <v>26552</v>
      </c>
      <c r="K69" s="25" t="s">
        <v>25</v>
      </c>
      <c r="L69" s="34" t="str">
        <f t="shared" si="1"/>
        <v>June</v>
      </c>
    </row>
    <row r="70" spans="1:12">
      <c r="A70" s="25" t="s">
        <v>166</v>
      </c>
      <c r="B70" s="25" t="s">
        <v>167</v>
      </c>
      <c r="C70" s="25">
        <v>26</v>
      </c>
      <c r="D70" s="25" t="s">
        <v>20</v>
      </c>
      <c r="E70" s="25" t="s">
        <v>48</v>
      </c>
      <c r="F70" s="25" t="s">
        <v>49</v>
      </c>
      <c r="G70" s="32">
        <v>45871</v>
      </c>
      <c r="H70" s="32">
        <v>45877</v>
      </c>
      <c r="I70" s="25">
        <v>6</v>
      </c>
      <c r="J70" s="33">
        <v>53748</v>
      </c>
      <c r="K70" s="25" t="s">
        <v>30</v>
      </c>
      <c r="L70" s="34" t="str">
        <f t="shared" si="1"/>
        <v>August</v>
      </c>
    </row>
    <row r="71" spans="1:12">
      <c r="A71" s="25" t="s">
        <v>168</v>
      </c>
      <c r="B71" s="25" t="s">
        <v>169</v>
      </c>
      <c r="C71" s="25">
        <v>20</v>
      </c>
      <c r="D71" s="25" t="s">
        <v>14</v>
      </c>
      <c r="E71" s="25" t="s">
        <v>33</v>
      </c>
      <c r="F71" s="25" t="s">
        <v>34</v>
      </c>
      <c r="G71" s="32">
        <v>45986</v>
      </c>
      <c r="H71" s="32">
        <v>45994</v>
      </c>
      <c r="I71" s="25">
        <v>8</v>
      </c>
      <c r="J71" s="33">
        <v>56640</v>
      </c>
      <c r="K71" s="25" t="s">
        <v>35</v>
      </c>
      <c r="L71" s="34" t="str">
        <f t="shared" si="1"/>
        <v>November</v>
      </c>
    </row>
    <row r="72" spans="1:12">
      <c r="A72" s="25" t="s">
        <v>170</v>
      </c>
      <c r="B72" s="25" t="s">
        <v>171</v>
      </c>
      <c r="C72" s="25">
        <v>62</v>
      </c>
      <c r="D72" s="25" t="s">
        <v>14</v>
      </c>
      <c r="E72" s="25" t="s">
        <v>15</v>
      </c>
      <c r="F72" s="25" t="s">
        <v>16</v>
      </c>
      <c r="G72" s="32">
        <v>45814</v>
      </c>
      <c r="H72" s="32">
        <v>45820</v>
      </c>
      <c r="I72" s="25">
        <v>6</v>
      </c>
      <c r="J72" s="33">
        <v>25638</v>
      </c>
      <c r="K72" s="25" t="s">
        <v>17</v>
      </c>
      <c r="L72" s="34" t="str">
        <f t="shared" si="1"/>
        <v>June</v>
      </c>
    </row>
    <row r="73" spans="1:12">
      <c r="A73" s="25" t="s">
        <v>172</v>
      </c>
      <c r="B73" s="25" t="s">
        <v>173</v>
      </c>
      <c r="C73" s="25">
        <v>39</v>
      </c>
      <c r="D73" s="25" t="s">
        <v>14</v>
      </c>
      <c r="E73" s="25" t="s">
        <v>48</v>
      </c>
      <c r="F73" s="25" t="s">
        <v>49</v>
      </c>
      <c r="G73" s="32">
        <v>45985</v>
      </c>
      <c r="H73" s="32">
        <v>45991</v>
      </c>
      <c r="I73" s="25">
        <v>6</v>
      </c>
      <c r="J73" s="33">
        <v>53394</v>
      </c>
      <c r="K73" s="25" t="s">
        <v>35</v>
      </c>
      <c r="L73" s="34" t="str">
        <f t="shared" si="1"/>
        <v>November</v>
      </c>
    </row>
    <row r="74" spans="1:12">
      <c r="A74" s="25" t="s">
        <v>174</v>
      </c>
      <c r="B74" s="25" t="s">
        <v>175</v>
      </c>
      <c r="C74" s="25">
        <v>63</v>
      </c>
      <c r="D74" s="25" t="s">
        <v>14</v>
      </c>
      <c r="E74" s="25" t="s">
        <v>48</v>
      </c>
      <c r="F74" s="25" t="s">
        <v>49</v>
      </c>
      <c r="G74" s="32">
        <v>45868</v>
      </c>
      <c r="H74" s="32">
        <v>45869</v>
      </c>
      <c r="I74" s="25">
        <v>1</v>
      </c>
      <c r="J74" s="33">
        <v>5515</v>
      </c>
      <c r="K74" s="25" t="s">
        <v>25</v>
      </c>
      <c r="L74" s="34" t="str">
        <f t="shared" si="1"/>
        <v>July</v>
      </c>
    </row>
    <row r="75" spans="1:12">
      <c r="A75" s="25" t="s">
        <v>176</v>
      </c>
      <c r="B75" s="25" t="s">
        <v>177</v>
      </c>
      <c r="C75" s="25">
        <v>28</v>
      </c>
      <c r="D75" s="25" t="s">
        <v>20</v>
      </c>
      <c r="E75" s="25" t="s">
        <v>15</v>
      </c>
      <c r="F75" s="25" t="s">
        <v>16</v>
      </c>
      <c r="G75" s="32">
        <v>45840</v>
      </c>
      <c r="H75" s="32">
        <v>45848</v>
      </c>
      <c r="I75" s="25">
        <v>8</v>
      </c>
      <c r="J75" s="33">
        <v>35368</v>
      </c>
      <c r="K75" s="25" t="s">
        <v>35</v>
      </c>
      <c r="L75" s="34" t="str">
        <f t="shared" si="1"/>
        <v>July</v>
      </c>
    </row>
    <row r="76" spans="1:12">
      <c r="A76" s="25" t="s">
        <v>178</v>
      </c>
      <c r="B76" s="25" t="s">
        <v>179</v>
      </c>
      <c r="C76" s="25">
        <v>51</v>
      </c>
      <c r="D76" s="25" t="s">
        <v>14</v>
      </c>
      <c r="E76" s="25" t="s">
        <v>33</v>
      </c>
      <c r="F76" s="25" t="s">
        <v>34</v>
      </c>
      <c r="G76" s="32">
        <v>45682</v>
      </c>
      <c r="H76" s="32">
        <v>45688</v>
      </c>
      <c r="I76" s="25">
        <v>6</v>
      </c>
      <c r="J76" s="33">
        <v>46770</v>
      </c>
      <c r="K76" s="25" t="s">
        <v>17</v>
      </c>
      <c r="L76" s="34" t="str">
        <f t="shared" si="1"/>
        <v>January</v>
      </c>
    </row>
    <row r="77" spans="1:12">
      <c r="A77" s="25" t="s">
        <v>180</v>
      </c>
      <c r="B77" s="25" t="s">
        <v>181</v>
      </c>
      <c r="C77" s="25">
        <v>38</v>
      </c>
      <c r="D77" s="25" t="s">
        <v>14</v>
      </c>
      <c r="E77" s="25" t="s">
        <v>23</v>
      </c>
      <c r="F77" s="25" t="s">
        <v>24</v>
      </c>
      <c r="G77" s="32">
        <v>45818</v>
      </c>
      <c r="H77" s="32">
        <v>45824</v>
      </c>
      <c r="I77" s="25">
        <v>6</v>
      </c>
      <c r="J77" s="33">
        <v>16614</v>
      </c>
      <c r="K77" s="25" t="s">
        <v>30</v>
      </c>
      <c r="L77" s="34" t="str">
        <f t="shared" si="1"/>
        <v>June</v>
      </c>
    </row>
    <row r="78" spans="1:12">
      <c r="A78" s="25" t="s">
        <v>182</v>
      </c>
      <c r="B78" s="25" t="s">
        <v>183</v>
      </c>
      <c r="C78" s="25">
        <v>62</v>
      </c>
      <c r="D78" s="25" t="s">
        <v>20</v>
      </c>
      <c r="E78" s="25" t="s">
        <v>15</v>
      </c>
      <c r="F78" s="25" t="s">
        <v>16</v>
      </c>
      <c r="G78" s="32">
        <v>45943</v>
      </c>
      <c r="H78" s="32">
        <v>45947</v>
      </c>
      <c r="I78" s="25">
        <v>4</v>
      </c>
      <c r="J78" s="33">
        <v>28688</v>
      </c>
      <c r="K78" s="25" t="s">
        <v>25</v>
      </c>
      <c r="L78" s="34" t="str">
        <f t="shared" si="1"/>
        <v>October</v>
      </c>
    </row>
    <row r="79" spans="1:12">
      <c r="A79" s="25" t="s">
        <v>184</v>
      </c>
      <c r="B79" s="25" t="s">
        <v>185</v>
      </c>
      <c r="C79" s="25">
        <v>31</v>
      </c>
      <c r="D79" s="25" t="s">
        <v>20</v>
      </c>
      <c r="E79" s="25" t="s">
        <v>48</v>
      </c>
      <c r="F79" s="25" t="s">
        <v>49</v>
      </c>
      <c r="G79" s="32">
        <v>45744</v>
      </c>
      <c r="H79" s="32">
        <v>45748</v>
      </c>
      <c r="I79" s="25">
        <v>4</v>
      </c>
      <c r="J79" s="33">
        <v>16436</v>
      </c>
      <c r="K79" s="25" t="s">
        <v>17</v>
      </c>
      <c r="L79" s="34" t="str">
        <f t="shared" si="1"/>
        <v>March</v>
      </c>
    </row>
    <row r="80" spans="1:12">
      <c r="A80" s="25" t="s">
        <v>186</v>
      </c>
      <c r="B80" s="25" t="s">
        <v>187</v>
      </c>
      <c r="C80" s="25">
        <v>21</v>
      </c>
      <c r="D80" s="25" t="s">
        <v>14</v>
      </c>
      <c r="E80" s="25" t="s">
        <v>28</v>
      </c>
      <c r="F80" s="25" t="s">
        <v>29</v>
      </c>
      <c r="G80" s="32">
        <v>45943</v>
      </c>
      <c r="H80" s="32">
        <v>45948</v>
      </c>
      <c r="I80" s="25">
        <v>5</v>
      </c>
      <c r="J80" s="33">
        <v>36700</v>
      </c>
      <c r="K80" s="25" t="s">
        <v>17</v>
      </c>
      <c r="L80" s="34" t="str">
        <f t="shared" si="1"/>
        <v>October</v>
      </c>
    </row>
    <row r="81" spans="1:12">
      <c r="A81" s="25" t="s">
        <v>188</v>
      </c>
      <c r="B81" s="25" t="s">
        <v>189</v>
      </c>
      <c r="C81" s="25">
        <v>19</v>
      </c>
      <c r="D81" s="25" t="s">
        <v>14</v>
      </c>
      <c r="E81" s="25" t="s">
        <v>23</v>
      </c>
      <c r="F81" s="25" t="s">
        <v>24</v>
      </c>
      <c r="G81" s="32">
        <v>45862</v>
      </c>
      <c r="H81" s="32">
        <v>45869</v>
      </c>
      <c r="I81" s="25">
        <v>7</v>
      </c>
      <c r="J81" s="33">
        <v>37849</v>
      </c>
      <c r="K81" s="25" t="s">
        <v>30</v>
      </c>
      <c r="L81" s="34" t="str">
        <f t="shared" si="1"/>
        <v>July</v>
      </c>
    </row>
    <row r="82" spans="1:12">
      <c r="A82" s="25" t="s">
        <v>190</v>
      </c>
      <c r="B82" s="25" t="s">
        <v>191</v>
      </c>
      <c r="C82" s="25">
        <v>66</v>
      </c>
      <c r="D82" s="25" t="s">
        <v>20</v>
      </c>
      <c r="E82" s="25" t="s">
        <v>23</v>
      </c>
      <c r="F82" s="25" t="s">
        <v>24</v>
      </c>
      <c r="G82" s="32">
        <v>45687</v>
      </c>
      <c r="H82" s="32">
        <v>45688</v>
      </c>
      <c r="I82" s="25">
        <v>1</v>
      </c>
      <c r="J82" s="33">
        <v>3891</v>
      </c>
      <c r="K82" s="25" t="s">
        <v>30</v>
      </c>
      <c r="L82" s="34" t="str">
        <f t="shared" si="1"/>
        <v>January</v>
      </c>
    </row>
    <row r="83" spans="1:12">
      <c r="A83" s="25" t="s">
        <v>192</v>
      </c>
      <c r="B83" s="25" t="s">
        <v>193</v>
      </c>
      <c r="C83" s="25">
        <v>77</v>
      </c>
      <c r="D83" s="25" t="s">
        <v>14</v>
      </c>
      <c r="E83" s="25" t="s">
        <v>23</v>
      </c>
      <c r="F83" s="25" t="s">
        <v>24</v>
      </c>
      <c r="G83" s="32">
        <v>45940</v>
      </c>
      <c r="H83" s="32">
        <v>45948</v>
      </c>
      <c r="I83" s="25">
        <v>8</v>
      </c>
      <c r="J83" s="33">
        <v>55744</v>
      </c>
      <c r="K83" s="25" t="s">
        <v>25</v>
      </c>
      <c r="L83" s="34" t="str">
        <f t="shared" si="1"/>
        <v>October</v>
      </c>
    </row>
    <row r="84" spans="1:12">
      <c r="A84" s="25" t="s">
        <v>194</v>
      </c>
      <c r="B84" s="25" t="s">
        <v>195</v>
      </c>
      <c r="C84" s="25">
        <v>34</v>
      </c>
      <c r="D84" s="25" t="s">
        <v>14</v>
      </c>
      <c r="E84" s="25" t="s">
        <v>48</v>
      </c>
      <c r="F84" s="25" t="s">
        <v>49</v>
      </c>
      <c r="G84" s="32">
        <v>45762</v>
      </c>
      <c r="H84" s="32">
        <v>45766</v>
      </c>
      <c r="I84" s="25">
        <v>4</v>
      </c>
      <c r="J84" s="33">
        <v>27380</v>
      </c>
      <c r="K84" s="25" t="s">
        <v>35</v>
      </c>
      <c r="L84" s="34" t="str">
        <f t="shared" si="1"/>
        <v>April</v>
      </c>
    </row>
    <row r="85" spans="1:12">
      <c r="A85" s="25" t="s">
        <v>196</v>
      </c>
      <c r="B85" s="25" t="s">
        <v>197</v>
      </c>
      <c r="C85" s="25">
        <v>62</v>
      </c>
      <c r="D85" s="25" t="s">
        <v>20</v>
      </c>
      <c r="E85" s="25" t="s">
        <v>40</v>
      </c>
      <c r="F85" s="25" t="s">
        <v>41</v>
      </c>
      <c r="G85" s="32">
        <v>45799</v>
      </c>
      <c r="H85" s="32">
        <v>45805</v>
      </c>
      <c r="I85" s="25">
        <v>6</v>
      </c>
      <c r="J85" s="33">
        <v>50052</v>
      </c>
      <c r="K85" s="25" t="s">
        <v>35</v>
      </c>
      <c r="L85" s="34" t="str">
        <f t="shared" si="1"/>
        <v>May</v>
      </c>
    </row>
    <row r="86" spans="1:12">
      <c r="A86" s="25" t="s">
        <v>198</v>
      </c>
      <c r="B86" s="25" t="s">
        <v>199</v>
      </c>
      <c r="C86" s="25">
        <v>40</v>
      </c>
      <c r="D86" s="25" t="s">
        <v>20</v>
      </c>
      <c r="E86" s="25" t="s">
        <v>28</v>
      </c>
      <c r="F86" s="25" t="s">
        <v>29</v>
      </c>
      <c r="G86" s="32">
        <v>46020</v>
      </c>
      <c r="H86" s="32">
        <v>46026</v>
      </c>
      <c r="I86" s="25">
        <v>6</v>
      </c>
      <c r="J86" s="33">
        <v>53496</v>
      </c>
      <c r="K86" s="25" t="s">
        <v>25</v>
      </c>
      <c r="L86" s="34" t="str">
        <f t="shared" si="1"/>
        <v>December</v>
      </c>
    </row>
    <row r="87" spans="1:12">
      <c r="A87" s="25" t="s">
        <v>200</v>
      </c>
      <c r="B87" s="25" t="s">
        <v>201</v>
      </c>
      <c r="C87" s="25">
        <v>24</v>
      </c>
      <c r="D87" s="25" t="s">
        <v>14</v>
      </c>
      <c r="E87" s="25" t="s">
        <v>23</v>
      </c>
      <c r="F87" s="25" t="s">
        <v>24</v>
      </c>
      <c r="G87" s="32">
        <v>46016</v>
      </c>
      <c r="H87" s="32">
        <v>46023</v>
      </c>
      <c r="I87" s="25">
        <v>7</v>
      </c>
      <c r="J87" s="33">
        <v>43736</v>
      </c>
      <c r="K87" s="25" t="s">
        <v>30</v>
      </c>
      <c r="L87" s="34" t="str">
        <f t="shared" si="1"/>
        <v>December</v>
      </c>
    </row>
    <row r="88" spans="1:12">
      <c r="A88" s="25" t="s">
        <v>202</v>
      </c>
      <c r="B88" s="25" t="s">
        <v>203</v>
      </c>
      <c r="C88" s="25">
        <v>43</v>
      </c>
      <c r="D88" s="25" t="s">
        <v>20</v>
      </c>
      <c r="E88" s="25" t="s">
        <v>28</v>
      </c>
      <c r="F88" s="25" t="s">
        <v>29</v>
      </c>
      <c r="G88" s="32">
        <v>45837</v>
      </c>
      <c r="H88" s="32">
        <v>45839</v>
      </c>
      <c r="I88" s="25">
        <v>2</v>
      </c>
      <c r="J88" s="33">
        <v>7412</v>
      </c>
      <c r="K88" s="25" t="s">
        <v>17</v>
      </c>
      <c r="L88" s="34" t="str">
        <f t="shared" si="1"/>
        <v>June</v>
      </c>
    </row>
    <row r="89" spans="1:12">
      <c r="A89" s="25" t="s">
        <v>204</v>
      </c>
      <c r="B89" s="25" t="s">
        <v>205</v>
      </c>
      <c r="C89" s="25">
        <v>59</v>
      </c>
      <c r="D89" s="25" t="s">
        <v>20</v>
      </c>
      <c r="E89" s="25" t="s">
        <v>23</v>
      </c>
      <c r="F89" s="25" t="s">
        <v>24</v>
      </c>
      <c r="G89" s="32">
        <v>45659</v>
      </c>
      <c r="H89" s="32">
        <v>45669</v>
      </c>
      <c r="I89" s="25">
        <v>10</v>
      </c>
      <c r="J89" s="33">
        <v>35860</v>
      </c>
      <c r="K89" s="25" t="s">
        <v>35</v>
      </c>
      <c r="L89" s="34" t="str">
        <f t="shared" si="1"/>
        <v>January</v>
      </c>
    </row>
    <row r="90" spans="1:12">
      <c r="A90" s="25" t="s">
        <v>206</v>
      </c>
      <c r="B90" s="25" t="s">
        <v>207</v>
      </c>
      <c r="C90" s="25">
        <v>24</v>
      </c>
      <c r="D90" s="25" t="s">
        <v>20</v>
      </c>
      <c r="E90" s="25" t="s">
        <v>23</v>
      </c>
      <c r="F90" s="25" t="s">
        <v>24</v>
      </c>
      <c r="G90" s="32">
        <v>45993</v>
      </c>
      <c r="H90" s="32">
        <v>45994</v>
      </c>
      <c r="I90" s="25">
        <v>1</v>
      </c>
      <c r="J90" s="33">
        <v>8194</v>
      </c>
      <c r="K90" s="25" t="s">
        <v>30</v>
      </c>
      <c r="L90" s="34" t="str">
        <f t="shared" si="1"/>
        <v>December</v>
      </c>
    </row>
    <row r="91" spans="1:12">
      <c r="A91" s="25" t="s">
        <v>208</v>
      </c>
      <c r="B91" s="25" t="s">
        <v>209</v>
      </c>
      <c r="C91" s="25">
        <v>41</v>
      </c>
      <c r="D91" s="25" t="s">
        <v>14</v>
      </c>
      <c r="E91" s="25" t="s">
        <v>28</v>
      </c>
      <c r="F91" s="25" t="s">
        <v>29</v>
      </c>
      <c r="G91" s="32">
        <v>46004</v>
      </c>
      <c r="H91" s="32">
        <v>46009</v>
      </c>
      <c r="I91" s="25">
        <v>5</v>
      </c>
      <c r="J91" s="33">
        <v>22720</v>
      </c>
      <c r="K91" s="25" t="s">
        <v>25</v>
      </c>
      <c r="L91" s="34" t="str">
        <f t="shared" si="1"/>
        <v>December</v>
      </c>
    </row>
    <row r="92" spans="1:12">
      <c r="A92" s="25" t="s">
        <v>210</v>
      </c>
      <c r="B92" s="25" t="s">
        <v>211</v>
      </c>
      <c r="C92" s="25">
        <v>70</v>
      </c>
      <c r="D92" s="25" t="s">
        <v>20</v>
      </c>
      <c r="E92" s="25" t="s">
        <v>15</v>
      </c>
      <c r="F92" s="25" t="s">
        <v>16</v>
      </c>
      <c r="G92" s="32">
        <v>45844</v>
      </c>
      <c r="H92" s="32">
        <v>45849</v>
      </c>
      <c r="I92" s="25">
        <v>5</v>
      </c>
      <c r="J92" s="33">
        <v>17835</v>
      </c>
      <c r="K92" s="25" t="s">
        <v>17</v>
      </c>
      <c r="L92" s="34" t="str">
        <f t="shared" si="1"/>
        <v>July</v>
      </c>
    </row>
    <row r="93" spans="1:12">
      <c r="A93" s="25" t="s">
        <v>212</v>
      </c>
      <c r="B93" s="25" t="s">
        <v>213</v>
      </c>
      <c r="C93" s="25">
        <v>75</v>
      </c>
      <c r="D93" s="25" t="s">
        <v>14</v>
      </c>
      <c r="E93" s="25" t="s">
        <v>28</v>
      </c>
      <c r="F93" s="25" t="s">
        <v>29</v>
      </c>
      <c r="G93" s="32">
        <v>45668</v>
      </c>
      <c r="H93" s="32">
        <v>45677</v>
      </c>
      <c r="I93" s="25">
        <v>9</v>
      </c>
      <c r="J93" s="33">
        <v>68571</v>
      </c>
      <c r="K93" s="25" t="s">
        <v>25</v>
      </c>
      <c r="L93" s="34" t="str">
        <f t="shared" si="1"/>
        <v>January</v>
      </c>
    </row>
    <row r="94" spans="1:12">
      <c r="A94" s="25" t="s">
        <v>214</v>
      </c>
      <c r="B94" s="25" t="s">
        <v>215</v>
      </c>
      <c r="C94" s="25">
        <v>59</v>
      </c>
      <c r="D94" s="25" t="s">
        <v>14</v>
      </c>
      <c r="E94" s="25" t="s">
        <v>33</v>
      </c>
      <c r="F94" s="25" t="s">
        <v>34</v>
      </c>
      <c r="G94" s="32">
        <v>45726</v>
      </c>
      <c r="H94" s="32">
        <v>45734</v>
      </c>
      <c r="I94" s="25">
        <v>8</v>
      </c>
      <c r="J94" s="33">
        <v>34760</v>
      </c>
      <c r="K94" s="25" t="s">
        <v>35</v>
      </c>
      <c r="L94" s="34" t="str">
        <f t="shared" si="1"/>
        <v>March</v>
      </c>
    </row>
    <row r="95" spans="1:12">
      <c r="A95" s="25" t="s">
        <v>216</v>
      </c>
      <c r="B95" s="25" t="s">
        <v>217</v>
      </c>
      <c r="C95" s="25">
        <v>55</v>
      </c>
      <c r="D95" s="25" t="s">
        <v>14</v>
      </c>
      <c r="E95" s="25" t="s">
        <v>15</v>
      </c>
      <c r="F95" s="25" t="s">
        <v>16</v>
      </c>
      <c r="G95" s="32">
        <v>45795</v>
      </c>
      <c r="H95" s="32">
        <v>45802</v>
      </c>
      <c r="I95" s="25">
        <v>7</v>
      </c>
      <c r="J95" s="33">
        <v>39235</v>
      </c>
      <c r="K95" s="25" t="s">
        <v>17</v>
      </c>
      <c r="L95" s="34" t="str">
        <f t="shared" si="1"/>
        <v>May</v>
      </c>
    </row>
    <row r="96" spans="1:12">
      <c r="A96" s="25" t="s">
        <v>218</v>
      </c>
      <c r="B96" s="25" t="s">
        <v>219</v>
      </c>
      <c r="C96" s="25">
        <v>70</v>
      </c>
      <c r="D96" s="25" t="s">
        <v>14</v>
      </c>
      <c r="E96" s="25" t="s">
        <v>23</v>
      </c>
      <c r="F96" s="25" t="s">
        <v>24</v>
      </c>
      <c r="G96" s="32">
        <v>45822</v>
      </c>
      <c r="H96" s="32">
        <v>45825</v>
      </c>
      <c r="I96" s="25">
        <v>3</v>
      </c>
      <c r="J96" s="33">
        <v>20211</v>
      </c>
      <c r="K96" s="25" t="s">
        <v>30</v>
      </c>
      <c r="L96" s="34" t="str">
        <f t="shared" si="1"/>
        <v>June</v>
      </c>
    </row>
    <row r="97" spans="1:12">
      <c r="A97" s="25" t="s">
        <v>220</v>
      </c>
      <c r="B97" s="25" t="s">
        <v>221</v>
      </c>
      <c r="C97" s="25">
        <v>79</v>
      </c>
      <c r="D97" s="25" t="s">
        <v>14</v>
      </c>
      <c r="E97" s="25" t="s">
        <v>23</v>
      </c>
      <c r="F97" s="25" t="s">
        <v>24</v>
      </c>
      <c r="G97" s="32">
        <v>45853</v>
      </c>
      <c r="H97" s="32">
        <v>45859</v>
      </c>
      <c r="I97" s="25">
        <v>6</v>
      </c>
      <c r="J97" s="33">
        <v>45084</v>
      </c>
      <c r="K97" s="25" t="s">
        <v>30</v>
      </c>
      <c r="L97" s="34" t="str">
        <f t="shared" si="1"/>
        <v>July</v>
      </c>
    </row>
    <row r="98" spans="1:12">
      <c r="A98" s="25" t="s">
        <v>222</v>
      </c>
      <c r="B98" s="25" t="s">
        <v>223</v>
      </c>
      <c r="C98" s="25">
        <v>49</v>
      </c>
      <c r="D98" s="25" t="s">
        <v>14</v>
      </c>
      <c r="E98" s="25" t="s">
        <v>15</v>
      </c>
      <c r="F98" s="25" t="s">
        <v>16</v>
      </c>
      <c r="G98" s="32">
        <v>45763</v>
      </c>
      <c r="H98" s="32">
        <v>45773</v>
      </c>
      <c r="I98" s="25">
        <v>10</v>
      </c>
      <c r="J98" s="33">
        <v>27860</v>
      </c>
      <c r="K98" s="25" t="s">
        <v>25</v>
      </c>
      <c r="L98" s="34" t="str">
        <f t="shared" si="1"/>
        <v>April</v>
      </c>
    </row>
    <row r="99" spans="1:12">
      <c r="A99" s="25" t="s">
        <v>224</v>
      </c>
      <c r="B99" s="25" t="s">
        <v>225</v>
      </c>
      <c r="C99" s="25">
        <v>51</v>
      </c>
      <c r="D99" s="25" t="s">
        <v>20</v>
      </c>
      <c r="E99" s="25" t="s">
        <v>48</v>
      </c>
      <c r="F99" s="25" t="s">
        <v>49</v>
      </c>
      <c r="G99" s="32">
        <v>45766</v>
      </c>
      <c r="H99" s="32">
        <v>45772</v>
      </c>
      <c r="I99" s="25">
        <v>6</v>
      </c>
      <c r="J99" s="33">
        <v>26820</v>
      </c>
      <c r="K99" s="25" t="s">
        <v>30</v>
      </c>
      <c r="L99" s="34" t="str">
        <f t="shared" si="1"/>
        <v>April</v>
      </c>
    </row>
    <row r="100" spans="1:12">
      <c r="A100" s="25" t="s">
        <v>226</v>
      </c>
      <c r="B100" s="25" t="s">
        <v>227</v>
      </c>
      <c r="C100" s="25">
        <v>48</v>
      </c>
      <c r="D100" s="25" t="s">
        <v>20</v>
      </c>
      <c r="E100" s="25" t="s">
        <v>23</v>
      </c>
      <c r="F100" s="25" t="s">
        <v>24</v>
      </c>
      <c r="G100" s="32">
        <v>45929</v>
      </c>
      <c r="H100" s="32">
        <v>45933</v>
      </c>
      <c r="I100" s="25">
        <v>4</v>
      </c>
      <c r="J100" s="33">
        <v>22728</v>
      </c>
      <c r="K100" s="25" t="s">
        <v>25</v>
      </c>
      <c r="L100" s="34" t="str">
        <f t="shared" si="1"/>
        <v>September</v>
      </c>
    </row>
    <row r="101" spans="1:12">
      <c r="A101" s="25" t="s">
        <v>228</v>
      </c>
      <c r="B101" s="25" t="s">
        <v>229</v>
      </c>
      <c r="C101" s="25">
        <v>75</v>
      </c>
      <c r="D101" s="25" t="s">
        <v>14</v>
      </c>
      <c r="E101" s="25" t="s">
        <v>15</v>
      </c>
      <c r="F101" s="25" t="s">
        <v>16</v>
      </c>
      <c r="G101" s="32">
        <v>45779</v>
      </c>
      <c r="H101" s="32">
        <v>45781</v>
      </c>
      <c r="I101" s="25">
        <v>2</v>
      </c>
      <c r="J101" s="33">
        <v>16918</v>
      </c>
      <c r="K101" s="25" t="s">
        <v>25</v>
      </c>
      <c r="L101" s="34" t="str">
        <f t="shared" si="1"/>
        <v>May</v>
      </c>
    </row>
    <row r="102" spans="1:12">
      <c r="A102" s="25" t="s">
        <v>230</v>
      </c>
      <c r="B102" s="25" t="s">
        <v>231</v>
      </c>
      <c r="C102" s="25">
        <v>42</v>
      </c>
      <c r="D102" s="25" t="s">
        <v>14</v>
      </c>
      <c r="E102" s="25" t="s">
        <v>15</v>
      </c>
      <c r="F102" s="25" t="s">
        <v>16</v>
      </c>
      <c r="G102" s="32">
        <v>45948</v>
      </c>
      <c r="H102" s="32">
        <v>45952</v>
      </c>
      <c r="I102" s="25">
        <v>4</v>
      </c>
      <c r="J102" s="33">
        <v>33752</v>
      </c>
      <c r="K102" s="25" t="s">
        <v>35</v>
      </c>
      <c r="L102" s="34" t="str">
        <f t="shared" si="1"/>
        <v>October</v>
      </c>
    </row>
    <row r="103" spans="1:12">
      <c r="A103" s="25" t="s">
        <v>232</v>
      </c>
      <c r="B103" s="25" t="s">
        <v>233</v>
      </c>
      <c r="C103" s="25">
        <v>78</v>
      </c>
      <c r="D103" s="25" t="s">
        <v>14</v>
      </c>
      <c r="E103" s="25" t="s">
        <v>48</v>
      </c>
      <c r="F103" s="25" t="s">
        <v>49</v>
      </c>
      <c r="G103" s="32">
        <v>45690</v>
      </c>
      <c r="H103" s="32">
        <v>45696</v>
      </c>
      <c r="I103" s="25">
        <v>6</v>
      </c>
      <c r="J103" s="33">
        <v>41010</v>
      </c>
      <c r="K103" s="25" t="s">
        <v>17</v>
      </c>
      <c r="L103" s="34" t="str">
        <f t="shared" si="1"/>
        <v>February</v>
      </c>
    </row>
    <row r="104" spans="1:12">
      <c r="A104" s="25" t="s">
        <v>234</v>
      </c>
      <c r="B104" s="25" t="s">
        <v>235</v>
      </c>
      <c r="C104" s="25">
        <v>20</v>
      </c>
      <c r="D104" s="25" t="s">
        <v>20</v>
      </c>
      <c r="E104" s="25" t="s">
        <v>40</v>
      </c>
      <c r="F104" s="25" t="s">
        <v>41</v>
      </c>
      <c r="G104" s="32">
        <v>45731</v>
      </c>
      <c r="H104" s="32">
        <v>45741</v>
      </c>
      <c r="I104" s="25">
        <v>10</v>
      </c>
      <c r="J104" s="33">
        <v>26620</v>
      </c>
      <c r="K104" s="25" t="s">
        <v>35</v>
      </c>
      <c r="L104" s="34" t="str">
        <f t="shared" si="1"/>
        <v>March</v>
      </c>
    </row>
    <row r="105" spans="1:12">
      <c r="A105" s="25" t="s">
        <v>236</v>
      </c>
      <c r="B105" s="25" t="s">
        <v>237</v>
      </c>
      <c r="C105" s="25">
        <v>66</v>
      </c>
      <c r="D105" s="25" t="s">
        <v>20</v>
      </c>
      <c r="E105" s="25" t="s">
        <v>40</v>
      </c>
      <c r="F105" s="25" t="s">
        <v>41</v>
      </c>
      <c r="G105" s="32">
        <v>45852</v>
      </c>
      <c r="H105" s="32">
        <v>45862</v>
      </c>
      <c r="I105" s="25">
        <v>10</v>
      </c>
      <c r="J105" s="33">
        <v>76610</v>
      </c>
      <c r="K105" s="25" t="s">
        <v>35</v>
      </c>
      <c r="L105" s="34" t="str">
        <f t="shared" si="1"/>
        <v>July</v>
      </c>
    </row>
    <row r="106" spans="1:12">
      <c r="A106" s="25" t="s">
        <v>238</v>
      </c>
      <c r="B106" s="25" t="s">
        <v>239</v>
      </c>
      <c r="C106" s="25">
        <v>18</v>
      </c>
      <c r="D106" s="25" t="s">
        <v>20</v>
      </c>
      <c r="E106" s="25" t="s">
        <v>48</v>
      </c>
      <c r="F106" s="25" t="s">
        <v>49</v>
      </c>
      <c r="G106" s="32">
        <v>45755</v>
      </c>
      <c r="H106" s="32">
        <v>45758</v>
      </c>
      <c r="I106" s="25">
        <v>3</v>
      </c>
      <c r="J106" s="33">
        <v>21330</v>
      </c>
      <c r="K106" s="25" t="s">
        <v>25</v>
      </c>
      <c r="L106" s="34" t="str">
        <f t="shared" si="1"/>
        <v>April</v>
      </c>
    </row>
    <row r="107" spans="1:12">
      <c r="A107" s="25" t="s">
        <v>240</v>
      </c>
      <c r="B107" s="25" t="s">
        <v>241</v>
      </c>
      <c r="C107" s="25">
        <v>19</v>
      </c>
      <c r="D107" s="25" t="s">
        <v>20</v>
      </c>
      <c r="E107" s="25" t="s">
        <v>40</v>
      </c>
      <c r="F107" s="25" t="s">
        <v>41</v>
      </c>
      <c r="G107" s="32">
        <v>45984</v>
      </c>
      <c r="H107" s="32">
        <v>45994</v>
      </c>
      <c r="I107" s="25">
        <v>10</v>
      </c>
      <c r="J107" s="33">
        <v>85000</v>
      </c>
      <c r="K107" s="25" t="s">
        <v>35</v>
      </c>
      <c r="L107" s="34" t="str">
        <f t="shared" si="1"/>
        <v>November</v>
      </c>
    </row>
    <row r="108" spans="1:12">
      <c r="A108" s="25" t="s">
        <v>242</v>
      </c>
      <c r="B108" s="25" t="s">
        <v>243</v>
      </c>
      <c r="C108" s="25">
        <v>75</v>
      </c>
      <c r="D108" s="25" t="s">
        <v>14</v>
      </c>
      <c r="E108" s="25" t="s">
        <v>15</v>
      </c>
      <c r="F108" s="25" t="s">
        <v>16</v>
      </c>
      <c r="G108" s="32">
        <v>45962</v>
      </c>
      <c r="H108" s="32">
        <v>45963</v>
      </c>
      <c r="I108" s="25">
        <v>1</v>
      </c>
      <c r="J108" s="33">
        <v>6367</v>
      </c>
      <c r="K108" s="25" t="s">
        <v>35</v>
      </c>
      <c r="L108" s="34" t="str">
        <f t="shared" si="1"/>
        <v>November</v>
      </c>
    </row>
    <row r="109" spans="1:12">
      <c r="A109" s="25" t="s">
        <v>244</v>
      </c>
      <c r="B109" s="25" t="s">
        <v>245</v>
      </c>
      <c r="C109" s="25">
        <v>76</v>
      </c>
      <c r="D109" s="25" t="s">
        <v>20</v>
      </c>
      <c r="E109" s="25" t="s">
        <v>23</v>
      </c>
      <c r="F109" s="25" t="s">
        <v>24</v>
      </c>
      <c r="G109" s="32">
        <v>46001</v>
      </c>
      <c r="H109" s="32">
        <v>46010</v>
      </c>
      <c r="I109" s="25">
        <v>9</v>
      </c>
      <c r="J109" s="33">
        <v>62388</v>
      </c>
      <c r="K109" s="25" t="s">
        <v>30</v>
      </c>
      <c r="L109" s="34" t="str">
        <f t="shared" si="1"/>
        <v>December</v>
      </c>
    </row>
    <row r="110" spans="1:12">
      <c r="A110" s="25" t="s">
        <v>246</v>
      </c>
      <c r="B110" s="25" t="s">
        <v>247</v>
      </c>
      <c r="C110" s="25">
        <v>79</v>
      </c>
      <c r="D110" s="25" t="s">
        <v>14</v>
      </c>
      <c r="E110" s="25" t="s">
        <v>28</v>
      </c>
      <c r="F110" s="25" t="s">
        <v>29</v>
      </c>
      <c r="G110" s="32">
        <v>45915</v>
      </c>
      <c r="H110" s="32">
        <v>45916</v>
      </c>
      <c r="I110" s="25">
        <v>1</v>
      </c>
      <c r="J110" s="33">
        <v>7979</v>
      </c>
      <c r="K110" s="25" t="s">
        <v>17</v>
      </c>
      <c r="L110" s="34" t="str">
        <f t="shared" si="1"/>
        <v>September</v>
      </c>
    </row>
    <row r="111" spans="1:12">
      <c r="A111" s="25" t="s">
        <v>248</v>
      </c>
      <c r="B111" s="25" t="s">
        <v>249</v>
      </c>
      <c r="C111" s="25">
        <v>76</v>
      </c>
      <c r="D111" s="25" t="s">
        <v>14</v>
      </c>
      <c r="E111" s="25" t="s">
        <v>23</v>
      </c>
      <c r="F111" s="25" t="s">
        <v>24</v>
      </c>
      <c r="G111" s="32">
        <v>45732</v>
      </c>
      <c r="H111" s="32">
        <v>45742</v>
      </c>
      <c r="I111" s="25">
        <v>10</v>
      </c>
      <c r="J111" s="33">
        <v>77820</v>
      </c>
      <c r="K111" s="25" t="s">
        <v>35</v>
      </c>
      <c r="L111" s="34" t="str">
        <f t="shared" si="1"/>
        <v>March</v>
      </c>
    </row>
    <row r="112" spans="1:12">
      <c r="A112" s="25" t="s">
        <v>250</v>
      </c>
      <c r="B112" s="25" t="s">
        <v>251</v>
      </c>
      <c r="C112" s="25">
        <v>46</v>
      </c>
      <c r="D112" s="25" t="s">
        <v>20</v>
      </c>
      <c r="E112" s="25" t="s">
        <v>48</v>
      </c>
      <c r="F112" s="25" t="s">
        <v>49</v>
      </c>
      <c r="G112" s="32">
        <v>45861</v>
      </c>
      <c r="H112" s="32">
        <v>45869</v>
      </c>
      <c r="I112" s="25">
        <v>8</v>
      </c>
      <c r="J112" s="33">
        <v>60328</v>
      </c>
      <c r="K112" s="25" t="s">
        <v>17</v>
      </c>
      <c r="L112" s="34" t="str">
        <f t="shared" si="1"/>
        <v>July</v>
      </c>
    </row>
    <row r="113" spans="1:12">
      <c r="A113" s="25" t="s">
        <v>252</v>
      </c>
      <c r="B113" s="25" t="s">
        <v>253</v>
      </c>
      <c r="C113" s="25">
        <v>32</v>
      </c>
      <c r="D113" s="25" t="s">
        <v>20</v>
      </c>
      <c r="E113" s="25" t="s">
        <v>33</v>
      </c>
      <c r="F113" s="25" t="s">
        <v>34</v>
      </c>
      <c r="G113" s="32">
        <v>45953</v>
      </c>
      <c r="H113" s="32">
        <v>45963</v>
      </c>
      <c r="I113" s="25">
        <v>10</v>
      </c>
      <c r="J113" s="33">
        <v>87900</v>
      </c>
      <c r="K113" s="25" t="s">
        <v>17</v>
      </c>
      <c r="L113" s="34" t="str">
        <f t="shared" si="1"/>
        <v>October</v>
      </c>
    </row>
    <row r="114" spans="1:12">
      <c r="A114" s="25" t="s">
        <v>254</v>
      </c>
      <c r="B114" s="25" t="s">
        <v>255</v>
      </c>
      <c r="C114" s="25">
        <v>62</v>
      </c>
      <c r="D114" s="25" t="s">
        <v>14</v>
      </c>
      <c r="E114" s="25" t="s">
        <v>40</v>
      </c>
      <c r="F114" s="25" t="s">
        <v>41</v>
      </c>
      <c r="G114" s="32">
        <v>45862</v>
      </c>
      <c r="H114" s="32">
        <v>45870</v>
      </c>
      <c r="I114" s="25">
        <v>8</v>
      </c>
      <c r="J114" s="33">
        <v>39688</v>
      </c>
      <c r="K114" s="25" t="s">
        <v>35</v>
      </c>
      <c r="L114" s="34" t="str">
        <f t="shared" si="1"/>
        <v>July</v>
      </c>
    </row>
    <row r="115" spans="1:12">
      <c r="A115" s="25" t="s">
        <v>256</v>
      </c>
      <c r="B115" s="25" t="s">
        <v>257</v>
      </c>
      <c r="C115" s="25">
        <v>48</v>
      </c>
      <c r="D115" s="25" t="s">
        <v>14</v>
      </c>
      <c r="E115" s="25" t="s">
        <v>15</v>
      </c>
      <c r="F115" s="25" t="s">
        <v>16</v>
      </c>
      <c r="G115" s="32">
        <v>45903</v>
      </c>
      <c r="H115" s="32">
        <v>45906</v>
      </c>
      <c r="I115" s="25">
        <v>3</v>
      </c>
      <c r="J115" s="33">
        <v>16668</v>
      </c>
      <c r="K115" s="25" t="s">
        <v>35</v>
      </c>
      <c r="L115" s="34" t="str">
        <f t="shared" si="1"/>
        <v>September</v>
      </c>
    </row>
    <row r="116" spans="1:12">
      <c r="A116" s="25" t="s">
        <v>258</v>
      </c>
      <c r="B116" s="25" t="s">
        <v>259</v>
      </c>
      <c r="C116" s="25">
        <v>28</v>
      </c>
      <c r="D116" s="25" t="s">
        <v>14</v>
      </c>
      <c r="E116" s="25" t="s">
        <v>48</v>
      </c>
      <c r="F116" s="25" t="s">
        <v>49</v>
      </c>
      <c r="G116" s="32">
        <v>45969</v>
      </c>
      <c r="H116" s="32">
        <v>45971</v>
      </c>
      <c r="I116" s="25">
        <v>2</v>
      </c>
      <c r="J116" s="33">
        <v>14844</v>
      </c>
      <c r="K116" s="25" t="s">
        <v>25</v>
      </c>
      <c r="L116" s="34" t="str">
        <f t="shared" si="1"/>
        <v>November</v>
      </c>
    </row>
    <row r="117" spans="1:12">
      <c r="A117" s="25" t="s">
        <v>260</v>
      </c>
      <c r="B117" s="25" t="s">
        <v>261</v>
      </c>
      <c r="C117" s="25">
        <v>31</v>
      </c>
      <c r="D117" s="25" t="s">
        <v>20</v>
      </c>
      <c r="E117" s="25" t="s">
        <v>28</v>
      </c>
      <c r="F117" s="25" t="s">
        <v>29</v>
      </c>
      <c r="G117" s="32">
        <v>45903</v>
      </c>
      <c r="H117" s="32">
        <v>45912</v>
      </c>
      <c r="I117" s="25">
        <v>9</v>
      </c>
      <c r="J117" s="33">
        <v>35505</v>
      </c>
      <c r="K117" s="25" t="s">
        <v>35</v>
      </c>
      <c r="L117" s="34" t="str">
        <f t="shared" si="1"/>
        <v>September</v>
      </c>
    </row>
    <row r="118" spans="1:12">
      <c r="A118" s="25" t="s">
        <v>262</v>
      </c>
      <c r="B118" s="25" t="s">
        <v>263</v>
      </c>
      <c r="C118" s="25">
        <v>57</v>
      </c>
      <c r="D118" s="25" t="s">
        <v>14</v>
      </c>
      <c r="E118" s="25" t="s">
        <v>28</v>
      </c>
      <c r="F118" s="25" t="s">
        <v>29</v>
      </c>
      <c r="G118" s="32">
        <v>46019</v>
      </c>
      <c r="H118" s="32">
        <v>46026</v>
      </c>
      <c r="I118" s="25">
        <v>7</v>
      </c>
      <c r="J118" s="33">
        <v>20188</v>
      </c>
      <c r="K118" s="25" t="s">
        <v>30</v>
      </c>
      <c r="L118" s="34" t="str">
        <f t="shared" si="1"/>
        <v>December</v>
      </c>
    </row>
    <row r="119" spans="1:12">
      <c r="A119" s="25" t="s">
        <v>264</v>
      </c>
      <c r="B119" s="25" t="s">
        <v>265</v>
      </c>
      <c r="C119" s="25">
        <v>48</v>
      </c>
      <c r="D119" s="25" t="s">
        <v>20</v>
      </c>
      <c r="E119" s="25" t="s">
        <v>15</v>
      </c>
      <c r="F119" s="25" t="s">
        <v>16</v>
      </c>
      <c r="G119" s="32">
        <v>45741</v>
      </c>
      <c r="H119" s="32">
        <v>45749</v>
      </c>
      <c r="I119" s="25">
        <v>8</v>
      </c>
      <c r="J119" s="33">
        <v>49336</v>
      </c>
      <c r="K119" s="25" t="s">
        <v>17</v>
      </c>
      <c r="L119" s="34" t="str">
        <f t="shared" si="1"/>
        <v>March</v>
      </c>
    </row>
    <row r="120" spans="1:12">
      <c r="A120" s="25" t="s">
        <v>266</v>
      </c>
      <c r="B120" s="25" t="s">
        <v>267</v>
      </c>
      <c r="C120" s="25">
        <v>44</v>
      </c>
      <c r="D120" s="25" t="s">
        <v>14</v>
      </c>
      <c r="E120" s="25" t="s">
        <v>48</v>
      </c>
      <c r="F120" s="25" t="s">
        <v>49</v>
      </c>
      <c r="G120" s="32">
        <v>45958</v>
      </c>
      <c r="H120" s="32">
        <v>45966</v>
      </c>
      <c r="I120" s="25">
        <v>8</v>
      </c>
      <c r="J120" s="33">
        <v>39712</v>
      </c>
      <c r="K120" s="25" t="s">
        <v>17</v>
      </c>
      <c r="L120" s="34" t="str">
        <f t="shared" si="1"/>
        <v>October</v>
      </c>
    </row>
    <row r="121" spans="1:12">
      <c r="A121" s="25" t="s">
        <v>268</v>
      </c>
      <c r="B121" s="25" t="s">
        <v>269</v>
      </c>
      <c r="C121" s="25">
        <v>77</v>
      </c>
      <c r="D121" s="25" t="s">
        <v>14</v>
      </c>
      <c r="E121" s="25" t="s">
        <v>33</v>
      </c>
      <c r="F121" s="25" t="s">
        <v>34</v>
      </c>
      <c r="G121" s="32">
        <v>45794</v>
      </c>
      <c r="H121" s="32">
        <v>45798</v>
      </c>
      <c r="I121" s="25">
        <v>4</v>
      </c>
      <c r="J121" s="33">
        <v>35220</v>
      </c>
      <c r="K121" s="25" t="s">
        <v>17</v>
      </c>
      <c r="L121" s="34" t="str">
        <f t="shared" si="1"/>
        <v>May</v>
      </c>
    </row>
    <row r="122" spans="1:12">
      <c r="A122" s="25" t="s">
        <v>270</v>
      </c>
      <c r="B122" s="25" t="s">
        <v>271</v>
      </c>
      <c r="C122" s="25">
        <v>58</v>
      </c>
      <c r="D122" s="25" t="s">
        <v>14</v>
      </c>
      <c r="E122" s="25" t="s">
        <v>48</v>
      </c>
      <c r="F122" s="25" t="s">
        <v>49</v>
      </c>
      <c r="G122" s="32">
        <v>45972</v>
      </c>
      <c r="H122" s="32">
        <v>45980</v>
      </c>
      <c r="I122" s="25">
        <v>8</v>
      </c>
      <c r="J122" s="33">
        <v>51896</v>
      </c>
      <c r="K122" s="25" t="s">
        <v>35</v>
      </c>
      <c r="L122" s="34" t="str">
        <f t="shared" si="1"/>
        <v>November</v>
      </c>
    </row>
    <row r="123" spans="1:12">
      <c r="A123" s="25" t="s">
        <v>272</v>
      </c>
      <c r="B123" s="25" t="s">
        <v>273</v>
      </c>
      <c r="C123" s="25">
        <v>61</v>
      </c>
      <c r="D123" s="25" t="s">
        <v>14</v>
      </c>
      <c r="E123" s="25" t="s">
        <v>48</v>
      </c>
      <c r="F123" s="25" t="s">
        <v>49</v>
      </c>
      <c r="G123" s="32">
        <v>45920</v>
      </c>
      <c r="H123" s="32">
        <v>45924</v>
      </c>
      <c r="I123" s="25">
        <v>4</v>
      </c>
      <c r="J123" s="33">
        <v>27356</v>
      </c>
      <c r="K123" s="25" t="s">
        <v>30</v>
      </c>
      <c r="L123" s="34" t="str">
        <f t="shared" si="1"/>
        <v>September</v>
      </c>
    </row>
    <row r="124" spans="1:12">
      <c r="A124" s="25" t="s">
        <v>274</v>
      </c>
      <c r="B124" s="25" t="s">
        <v>275</v>
      </c>
      <c r="C124" s="25">
        <v>59</v>
      </c>
      <c r="D124" s="25" t="s">
        <v>20</v>
      </c>
      <c r="E124" s="25" t="s">
        <v>33</v>
      </c>
      <c r="F124" s="25" t="s">
        <v>34</v>
      </c>
      <c r="G124" s="32">
        <v>45728</v>
      </c>
      <c r="H124" s="32">
        <v>45737</v>
      </c>
      <c r="I124" s="25">
        <v>9</v>
      </c>
      <c r="J124" s="33">
        <v>65628</v>
      </c>
      <c r="K124" s="25" t="s">
        <v>35</v>
      </c>
      <c r="L124" s="34" t="str">
        <f t="shared" si="1"/>
        <v>March</v>
      </c>
    </row>
    <row r="125" spans="1:12">
      <c r="A125" s="25" t="s">
        <v>276</v>
      </c>
      <c r="B125" s="25" t="s">
        <v>277</v>
      </c>
      <c r="C125" s="25">
        <v>74</v>
      </c>
      <c r="D125" s="25" t="s">
        <v>14</v>
      </c>
      <c r="E125" s="25" t="s">
        <v>40</v>
      </c>
      <c r="F125" s="25" t="s">
        <v>41</v>
      </c>
      <c r="G125" s="32">
        <v>46006</v>
      </c>
      <c r="H125" s="32">
        <v>46009</v>
      </c>
      <c r="I125" s="25">
        <v>3</v>
      </c>
      <c r="J125" s="33">
        <v>12099</v>
      </c>
      <c r="K125" s="25" t="s">
        <v>17</v>
      </c>
      <c r="L125" s="34" t="str">
        <f t="shared" si="1"/>
        <v>December</v>
      </c>
    </row>
    <row r="126" spans="1:12">
      <c r="A126" s="25" t="s">
        <v>278</v>
      </c>
      <c r="B126" s="25" t="s">
        <v>279</v>
      </c>
      <c r="C126" s="25">
        <v>18</v>
      </c>
      <c r="D126" s="25" t="s">
        <v>14</v>
      </c>
      <c r="E126" s="25" t="s">
        <v>15</v>
      </c>
      <c r="F126" s="25" t="s">
        <v>16</v>
      </c>
      <c r="G126" s="32">
        <v>45887</v>
      </c>
      <c r="H126" s="32">
        <v>45888</v>
      </c>
      <c r="I126" s="25">
        <v>1</v>
      </c>
      <c r="J126" s="33">
        <v>4740</v>
      </c>
      <c r="K126" s="25" t="s">
        <v>30</v>
      </c>
      <c r="L126" s="34" t="str">
        <f t="shared" si="1"/>
        <v>August</v>
      </c>
    </row>
    <row r="127" spans="1:12">
      <c r="A127" s="25" t="s">
        <v>280</v>
      </c>
      <c r="B127" s="25" t="s">
        <v>281</v>
      </c>
      <c r="C127" s="25">
        <v>70</v>
      </c>
      <c r="D127" s="25" t="s">
        <v>14</v>
      </c>
      <c r="E127" s="25" t="s">
        <v>33</v>
      </c>
      <c r="F127" s="25" t="s">
        <v>34</v>
      </c>
      <c r="G127" s="32">
        <v>45952</v>
      </c>
      <c r="H127" s="32">
        <v>45957</v>
      </c>
      <c r="I127" s="25">
        <v>5</v>
      </c>
      <c r="J127" s="33">
        <v>15690</v>
      </c>
      <c r="K127" s="25" t="s">
        <v>25</v>
      </c>
      <c r="L127" s="34" t="str">
        <f t="shared" si="1"/>
        <v>October</v>
      </c>
    </row>
    <row r="128" spans="1:12">
      <c r="A128" s="25" t="s">
        <v>282</v>
      </c>
      <c r="B128" s="25" t="s">
        <v>283</v>
      </c>
      <c r="C128" s="25">
        <v>21</v>
      </c>
      <c r="D128" s="25" t="s">
        <v>20</v>
      </c>
      <c r="E128" s="25" t="s">
        <v>48</v>
      </c>
      <c r="F128" s="25" t="s">
        <v>49</v>
      </c>
      <c r="G128" s="32">
        <v>45665</v>
      </c>
      <c r="H128" s="32">
        <v>45673</v>
      </c>
      <c r="I128" s="25">
        <v>8</v>
      </c>
      <c r="J128" s="33">
        <v>46624</v>
      </c>
      <c r="K128" s="25" t="s">
        <v>30</v>
      </c>
      <c r="L128" s="34" t="str">
        <f t="shared" si="1"/>
        <v>January</v>
      </c>
    </row>
    <row r="129" spans="1:12">
      <c r="A129" s="25" t="s">
        <v>284</v>
      </c>
      <c r="B129" s="25" t="s">
        <v>285</v>
      </c>
      <c r="C129" s="25">
        <v>29</v>
      </c>
      <c r="D129" s="25" t="s">
        <v>20</v>
      </c>
      <c r="E129" s="25" t="s">
        <v>48</v>
      </c>
      <c r="F129" s="25" t="s">
        <v>49</v>
      </c>
      <c r="G129" s="32">
        <v>45848</v>
      </c>
      <c r="H129" s="32">
        <v>45850</v>
      </c>
      <c r="I129" s="25">
        <v>2</v>
      </c>
      <c r="J129" s="33">
        <v>14236</v>
      </c>
      <c r="K129" s="25" t="s">
        <v>30</v>
      </c>
      <c r="L129" s="34" t="str">
        <f t="shared" si="1"/>
        <v>July</v>
      </c>
    </row>
    <row r="130" spans="1:12">
      <c r="A130" s="25" t="s">
        <v>286</v>
      </c>
      <c r="B130" s="25" t="s">
        <v>287</v>
      </c>
      <c r="C130" s="25">
        <v>25</v>
      </c>
      <c r="D130" s="25" t="s">
        <v>14</v>
      </c>
      <c r="E130" s="25" t="s">
        <v>48</v>
      </c>
      <c r="F130" s="25" t="s">
        <v>49</v>
      </c>
      <c r="G130" s="32">
        <v>45874</v>
      </c>
      <c r="H130" s="32">
        <v>45877</v>
      </c>
      <c r="I130" s="25">
        <v>3</v>
      </c>
      <c r="J130" s="33">
        <v>22773</v>
      </c>
      <c r="K130" s="25" t="s">
        <v>25</v>
      </c>
      <c r="L130" s="34" t="str">
        <f t="shared" si="1"/>
        <v>August</v>
      </c>
    </row>
    <row r="131" spans="1:12">
      <c r="A131" s="25" t="s">
        <v>288</v>
      </c>
      <c r="B131" s="25" t="s">
        <v>289</v>
      </c>
      <c r="C131" s="25">
        <v>37</v>
      </c>
      <c r="D131" s="25" t="s">
        <v>20</v>
      </c>
      <c r="E131" s="25" t="s">
        <v>48</v>
      </c>
      <c r="F131" s="25" t="s">
        <v>49</v>
      </c>
      <c r="G131" s="32">
        <v>45898</v>
      </c>
      <c r="H131" s="32">
        <v>45906</v>
      </c>
      <c r="I131" s="25">
        <v>8</v>
      </c>
      <c r="J131" s="33">
        <v>60968</v>
      </c>
      <c r="K131" s="25" t="s">
        <v>25</v>
      </c>
      <c r="L131" s="34" t="str">
        <f t="shared" si="1"/>
        <v>August</v>
      </c>
    </row>
    <row r="132" spans="1:12">
      <c r="A132" s="25" t="s">
        <v>290</v>
      </c>
      <c r="B132" s="25" t="s">
        <v>291</v>
      </c>
      <c r="C132" s="25">
        <v>62</v>
      </c>
      <c r="D132" s="25" t="s">
        <v>20</v>
      </c>
      <c r="E132" s="25" t="s">
        <v>15</v>
      </c>
      <c r="F132" s="25" t="s">
        <v>16</v>
      </c>
      <c r="G132" s="32">
        <v>45806</v>
      </c>
      <c r="H132" s="32">
        <v>45815</v>
      </c>
      <c r="I132" s="25">
        <v>9</v>
      </c>
      <c r="J132" s="33">
        <v>29178</v>
      </c>
      <c r="K132" s="25" t="s">
        <v>17</v>
      </c>
      <c r="L132" s="34" t="str">
        <f t="shared" ref="L132:L195" si="2">TEXT(G132,"mmmm")</f>
        <v>May</v>
      </c>
    </row>
    <row r="133" spans="1:12">
      <c r="A133" s="25" t="s">
        <v>292</v>
      </c>
      <c r="B133" s="25" t="s">
        <v>293</v>
      </c>
      <c r="C133" s="25">
        <v>23</v>
      </c>
      <c r="D133" s="25" t="s">
        <v>14</v>
      </c>
      <c r="E133" s="25" t="s">
        <v>40</v>
      </c>
      <c r="F133" s="25" t="s">
        <v>41</v>
      </c>
      <c r="G133" s="32">
        <v>45742</v>
      </c>
      <c r="H133" s="32">
        <v>45748</v>
      </c>
      <c r="I133" s="25">
        <v>6</v>
      </c>
      <c r="J133" s="33">
        <v>44316</v>
      </c>
      <c r="K133" s="25" t="s">
        <v>17</v>
      </c>
      <c r="L133" s="34" t="str">
        <f t="shared" si="2"/>
        <v>March</v>
      </c>
    </row>
    <row r="134" spans="1:12">
      <c r="A134" s="25" t="s">
        <v>294</v>
      </c>
      <c r="B134" s="25" t="s">
        <v>295</v>
      </c>
      <c r="C134" s="25">
        <v>51</v>
      </c>
      <c r="D134" s="25" t="s">
        <v>20</v>
      </c>
      <c r="E134" s="25" t="s">
        <v>33</v>
      </c>
      <c r="F134" s="25" t="s">
        <v>34</v>
      </c>
      <c r="G134" s="32">
        <v>45875</v>
      </c>
      <c r="H134" s="32">
        <v>45878</v>
      </c>
      <c r="I134" s="25">
        <v>3</v>
      </c>
      <c r="J134" s="33">
        <v>10194</v>
      </c>
      <c r="K134" s="25" t="s">
        <v>30</v>
      </c>
      <c r="L134" s="34" t="str">
        <f t="shared" si="2"/>
        <v>August</v>
      </c>
    </row>
    <row r="135" spans="1:12">
      <c r="A135" s="25" t="s">
        <v>296</v>
      </c>
      <c r="B135" s="25" t="s">
        <v>297</v>
      </c>
      <c r="C135" s="25">
        <v>73</v>
      </c>
      <c r="D135" s="25" t="s">
        <v>20</v>
      </c>
      <c r="E135" s="25" t="s">
        <v>40</v>
      </c>
      <c r="F135" s="25" t="s">
        <v>41</v>
      </c>
      <c r="G135" s="32">
        <v>45940</v>
      </c>
      <c r="H135" s="32">
        <v>45944</v>
      </c>
      <c r="I135" s="25">
        <v>4</v>
      </c>
      <c r="J135" s="33">
        <v>33888</v>
      </c>
      <c r="K135" s="25" t="s">
        <v>30</v>
      </c>
      <c r="L135" s="34" t="str">
        <f t="shared" si="2"/>
        <v>October</v>
      </c>
    </row>
    <row r="136" spans="1:12">
      <c r="A136" s="25" t="s">
        <v>298</v>
      </c>
      <c r="B136" s="25" t="s">
        <v>299</v>
      </c>
      <c r="C136" s="25">
        <v>32</v>
      </c>
      <c r="D136" s="25" t="s">
        <v>20</v>
      </c>
      <c r="E136" s="25" t="s">
        <v>33</v>
      </c>
      <c r="F136" s="25" t="s">
        <v>34</v>
      </c>
      <c r="G136" s="32">
        <v>45721</v>
      </c>
      <c r="H136" s="32">
        <v>45724</v>
      </c>
      <c r="I136" s="25">
        <v>3</v>
      </c>
      <c r="J136" s="33">
        <v>25242</v>
      </c>
      <c r="K136" s="25" t="s">
        <v>35</v>
      </c>
      <c r="L136" s="34" t="str">
        <f t="shared" si="2"/>
        <v>March</v>
      </c>
    </row>
    <row r="137" spans="1:12">
      <c r="A137" s="25" t="s">
        <v>300</v>
      </c>
      <c r="B137" s="25" t="s">
        <v>301</v>
      </c>
      <c r="C137" s="25">
        <v>78</v>
      </c>
      <c r="D137" s="25" t="s">
        <v>20</v>
      </c>
      <c r="E137" s="25" t="s">
        <v>33</v>
      </c>
      <c r="F137" s="25" t="s">
        <v>34</v>
      </c>
      <c r="G137" s="32">
        <v>45757</v>
      </c>
      <c r="H137" s="32">
        <v>45761</v>
      </c>
      <c r="I137" s="25">
        <v>4</v>
      </c>
      <c r="J137" s="33">
        <v>19728</v>
      </c>
      <c r="K137" s="25" t="s">
        <v>35</v>
      </c>
      <c r="L137" s="34" t="str">
        <f t="shared" si="2"/>
        <v>April</v>
      </c>
    </row>
    <row r="138" spans="1:12">
      <c r="A138" s="25" t="s">
        <v>302</v>
      </c>
      <c r="B138" s="25" t="s">
        <v>303</v>
      </c>
      <c r="C138" s="25">
        <v>79</v>
      </c>
      <c r="D138" s="25" t="s">
        <v>14</v>
      </c>
      <c r="E138" s="25" t="s">
        <v>15</v>
      </c>
      <c r="F138" s="25" t="s">
        <v>16</v>
      </c>
      <c r="G138" s="32">
        <v>45708</v>
      </c>
      <c r="H138" s="32">
        <v>45710</v>
      </c>
      <c r="I138" s="25">
        <v>2</v>
      </c>
      <c r="J138" s="33">
        <v>13328</v>
      </c>
      <c r="K138" s="25" t="s">
        <v>25</v>
      </c>
      <c r="L138" s="34" t="str">
        <f t="shared" si="2"/>
        <v>February</v>
      </c>
    </row>
    <row r="139" spans="1:12">
      <c r="A139" s="25" t="s">
        <v>304</v>
      </c>
      <c r="B139" s="25" t="s">
        <v>305</v>
      </c>
      <c r="C139" s="25">
        <v>80</v>
      </c>
      <c r="D139" s="25" t="s">
        <v>20</v>
      </c>
      <c r="E139" s="25" t="s">
        <v>28</v>
      </c>
      <c r="F139" s="25" t="s">
        <v>29</v>
      </c>
      <c r="G139" s="32">
        <v>45920</v>
      </c>
      <c r="H139" s="32">
        <v>45926</v>
      </c>
      <c r="I139" s="25">
        <v>6</v>
      </c>
      <c r="J139" s="33">
        <v>18054</v>
      </c>
      <c r="K139" s="25" t="s">
        <v>35</v>
      </c>
      <c r="L139" s="34" t="str">
        <f t="shared" si="2"/>
        <v>September</v>
      </c>
    </row>
    <row r="140" spans="1:12">
      <c r="A140" s="25" t="s">
        <v>306</v>
      </c>
      <c r="B140" s="25" t="s">
        <v>307</v>
      </c>
      <c r="C140" s="25">
        <v>45</v>
      </c>
      <c r="D140" s="25" t="s">
        <v>20</v>
      </c>
      <c r="E140" s="25" t="s">
        <v>23</v>
      </c>
      <c r="F140" s="25" t="s">
        <v>24</v>
      </c>
      <c r="G140" s="32">
        <v>45820</v>
      </c>
      <c r="H140" s="32">
        <v>45825</v>
      </c>
      <c r="I140" s="25">
        <v>5</v>
      </c>
      <c r="J140" s="33">
        <v>39185</v>
      </c>
      <c r="K140" s="25" t="s">
        <v>17</v>
      </c>
      <c r="L140" s="34" t="str">
        <f t="shared" si="2"/>
        <v>June</v>
      </c>
    </row>
    <row r="141" spans="1:12">
      <c r="A141" s="25" t="s">
        <v>308</v>
      </c>
      <c r="B141" s="25" t="s">
        <v>309</v>
      </c>
      <c r="C141" s="25">
        <v>27</v>
      </c>
      <c r="D141" s="25" t="s">
        <v>20</v>
      </c>
      <c r="E141" s="25" t="s">
        <v>15</v>
      </c>
      <c r="F141" s="25" t="s">
        <v>16</v>
      </c>
      <c r="G141" s="32">
        <v>45822</v>
      </c>
      <c r="H141" s="32">
        <v>45824</v>
      </c>
      <c r="I141" s="25">
        <v>2</v>
      </c>
      <c r="J141" s="33">
        <v>10444</v>
      </c>
      <c r="K141" s="25" t="s">
        <v>17</v>
      </c>
      <c r="L141" s="34" t="str">
        <f t="shared" si="2"/>
        <v>June</v>
      </c>
    </row>
    <row r="142" spans="1:12">
      <c r="A142" s="25" t="s">
        <v>310</v>
      </c>
      <c r="B142" s="25" t="s">
        <v>311</v>
      </c>
      <c r="C142" s="25">
        <v>38</v>
      </c>
      <c r="D142" s="25" t="s">
        <v>20</v>
      </c>
      <c r="E142" s="25" t="s">
        <v>48</v>
      </c>
      <c r="F142" s="25" t="s">
        <v>49</v>
      </c>
      <c r="G142" s="32">
        <v>45714</v>
      </c>
      <c r="H142" s="32">
        <v>45722</v>
      </c>
      <c r="I142" s="25">
        <v>8</v>
      </c>
      <c r="J142" s="33">
        <v>59760</v>
      </c>
      <c r="K142" s="25" t="s">
        <v>35</v>
      </c>
      <c r="L142" s="34" t="str">
        <f t="shared" si="2"/>
        <v>February</v>
      </c>
    </row>
    <row r="143" spans="1:12">
      <c r="A143" s="25" t="s">
        <v>312</v>
      </c>
      <c r="B143" s="25" t="s">
        <v>313</v>
      </c>
      <c r="C143" s="25">
        <v>79</v>
      </c>
      <c r="D143" s="25" t="s">
        <v>20</v>
      </c>
      <c r="E143" s="25" t="s">
        <v>48</v>
      </c>
      <c r="F143" s="25" t="s">
        <v>49</v>
      </c>
      <c r="G143" s="32">
        <v>45769</v>
      </c>
      <c r="H143" s="32">
        <v>45779</v>
      </c>
      <c r="I143" s="25">
        <v>10</v>
      </c>
      <c r="J143" s="33">
        <v>76020</v>
      </c>
      <c r="K143" s="25" t="s">
        <v>25</v>
      </c>
      <c r="L143" s="34" t="str">
        <f t="shared" si="2"/>
        <v>April</v>
      </c>
    </row>
    <row r="144" spans="1:12">
      <c r="A144" s="25" t="s">
        <v>314</v>
      </c>
      <c r="B144" s="25" t="s">
        <v>315</v>
      </c>
      <c r="C144" s="25">
        <v>21</v>
      </c>
      <c r="D144" s="25" t="s">
        <v>20</v>
      </c>
      <c r="E144" s="25" t="s">
        <v>40</v>
      </c>
      <c r="F144" s="25" t="s">
        <v>41</v>
      </c>
      <c r="G144" s="32">
        <v>45750</v>
      </c>
      <c r="H144" s="32">
        <v>45756</v>
      </c>
      <c r="I144" s="25">
        <v>6</v>
      </c>
      <c r="J144" s="33">
        <v>52488</v>
      </c>
      <c r="K144" s="25" t="s">
        <v>25</v>
      </c>
      <c r="L144" s="34" t="str">
        <f t="shared" si="2"/>
        <v>April</v>
      </c>
    </row>
    <row r="145" spans="1:12">
      <c r="A145" s="25" t="s">
        <v>316</v>
      </c>
      <c r="B145" s="25" t="s">
        <v>317</v>
      </c>
      <c r="C145" s="25">
        <v>62</v>
      </c>
      <c r="D145" s="25" t="s">
        <v>20</v>
      </c>
      <c r="E145" s="25" t="s">
        <v>23</v>
      </c>
      <c r="F145" s="25" t="s">
        <v>24</v>
      </c>
      <c r="G145" s="32">
        <v>45699</v>
      </c>
      <c r="H145" s="32">
        <v>45705</v>
      </c>
      <c r="I145" s="25">
        <v>6</v>
      </c>
      <c r="J145" s="33">
        <v>19104</v>
      </c>
      <c r="K145" s="25" t="s">
        <v>35</v>
      </c>
      <c r="L145" s="34" t="str">
        <f t="shared" si="2"/>
        <v>February</v>
      </c>
    </row>
    <row r="146" spans="1:12">
      <c r="A146" s="25" t="s">
        <v>318</v>
      </c>
      <c r="B146" s="25" t="s">
        <v>319</v>
      </c>
      <c r="C146" s="25">
        <v>42</v>
      </c>
      <c r="D146" s="25" t="s">
        <v>14</v>
      </c>
      <c r="E146" s="25" t="s">
        <v>33</v>
      </c>
      <c r="F146" s="25" t="s">
        <v>34</v>
      </c>
      <c r="G146" s="32">
        <v>45860</v>
      </c>
      <c r="H146" s="32">
        <v>45861</v>
      </c>
      <c r="I146" s="25">
        <v>1</v>
      </c>
      <c r="J146" s="33">
        <v>3359</v>
      </c>
      <c r="K146" s="25" t="s">
        <v>35</v>
      </c>
      <c r="L146" s="34" t="str">
        <f t="shared" si="2"/>
        <v>July</v>
      </c>
    </row>
    <row r="147" spans="1:12">
      <c r="A147" s="25" t="s">
        <v>320</v>
      </c>
      <c r="B147" s="25" t="s">
        <v>321</v>
      </c>
      <c r="C147" s="25">
        <v>28</v>
      </c>
      <c r="D147" s="25" t="s">
        <v>20</v>
      </c>
      <c r="E147" s="25" t="s">
        <v>28</v>
      </c>
      <c r="F147" s="25" t="s">
        <v>29</v>
      </c>
      <c r="G147" s="32">
        <v>45791</v>
      </c>
      <c r="H147" s="32">
        <v>45793</v>
      </c>
      <c r="I147" s="25">
        <v>2</v>
      </c>
      <c r="J147" s="33">
        <v>15232</v>
      </c>
      <c r="K147" s="25" t="s">
        <v>30</v>
      </c>
      <c r="L147" s="34" t="str">
        <f t="shared" si="2"/>
        <v>May</v>
      </c>
    </row>
    <row r="148" spans="1:12">
      <c r="A148" s="25" t="s">
        <v>322</v>
      </c>
      <c r="B148" s="25" t="s">
        <v>323</v>
      </c>
      <c r="C148" s="25">
        <v>51</v>
      </c>
      <c r="D148" s="25" t="s">
        <v>14</v>
      </c>
      <c r="E148" s="25" t="s">
        <v>15</v>
      </c>
      <c r="F148" s="25" t="s">
        <v>16</v>
      </c>
      <c r="G148" s="32">
        <v>45835</v>
      </c>
      <c r="H148" s="32">
        <v>45837</v>
      </c>
      <c r="I148" s="25">
        <v>2</v>
      </c>
      <c r="J148" s="33">
        <v>9666</v>
      </c>
      <c r="K148" s="25" t="s">
        <v>25</v>
      </c>
      <c r="L148" s="34" t="str">
        <f t="shared" si="2"/>
        <v>June</v>
      </c>
    </row>
    <row r="149" spans="1:12">
      <c r="A149" s="25" t="s">
        <v>324</v>
      </c>
      <c r="B149" s="25" t="s">
        <v>325</v>
      </c>
      <c r="C149" s="25">
        <v>31</v>
      </c>
      <c r="D149" s="25" t="s">
        <v>20</v>
      </c>
      <c r="E149" s="25" t="s">
        <v>48</v>
      </c>
      <c r="F149" s="25" t="s">
        <v>49</v>
      </c>
      <c r="G149" s="32">
        <v>46004</v>
      </c>
      <c r="H149" s="32">
        <v>46013</v>
      </c>
      <c r="I149" s="25">
        <v>9</v>
      </c>
      <c r="J149" s="33">
        <v>27621</v>
      </c>
      <c r="K149" s="25" t="s">
        <v>30</v>
      </c>
      <c r="L149" s="34" t="str">
        <f t="shared" si="2"/>
        <v>December</v>
      </c>
    </row>
    <row r="150" spans="1:12">
      <c r="A150" s="25" t="s">
        <v>326</v>
      </c>
      <c r="B150" s="25" t="s">
        <v>327</v>
      </c>
      <c r="C150" s="25">
        <v>59</v>
      </c>
      <c r="D150" s="25" t="s">
        <v>20</v>
      </c>
      <c r="E150" s="25" t="s">
        <v>23</v>
      </c>
      <c r="F150" s="25" t="s">
        <v>24</v>
      </c>
      <c r="G150" s="32">
        <v>45883</v>
      </c>
      <c r="H150" s="32">
        <v>45891</v>
      </c>
      <c r="I150" s="25">
        <v>8</v>
      </c>
      <c r="J150" s="33">
        <v>55968</v>
      </c>
      <c r="K150" s="25" t="s">
        <v>35</v>
      </c>
      <c r="L150" s="34" t="str">
        <f t="shared" si="2"/>
        <v>August</v>
      </c>
    </row>
    <row r="151" spans="1:12">
      <c r="A151" s="25" t="s">
        <v>328</v>
      </c>
      <c r="B151" s="25" t="s">
        <v>329</v>
      </c>
      <c r="C151" s="25">
        <v>59</v>
      </c>
      <c r="D151" s="25" t="s">
        <v>20</v>
      </c>
      <c r="E151" s="25" t="s">
        <v>23</v>
      </c>
      <c r="F151" s="25" t="s">
        <v>24</v>
      </c>
      <c r="G151" s="32">
        <v>45930</v>
      </c>
      <c r="H151" s="32">
        <v>45934</v>
      </c>
      <c r="I151" s="25">
        <v>4</v>
      </c>
      <c r="J151" s="33">
        <v>30164</v>
      </c>
      <c r="K151" s="25" t="s">
        <v>35</v>
      </c>
      <c r="L151" s="34" t="str">
        <f t="shared" si="2"/>
        <v>September</v>
      </c>
    </row>
    <row r="152" spans="1:12">
      <c r="A152" s="25" t="s">
        <v>330</v>
      </c>
      <c r="B152" s="25" t="s">
        <v>331</v>
      </c>
      <c r="C152" s="25">
        <v>73</v>
      </c>
      <c r="D152" s="25" t="s">
        <v>14</v>
      </c>
      <c r="E152" s="25" t="s">
        <v>28</v>
      </c>
      <c r="F152" s="25" t="s">
        <v>29</v>
      </c>
      <c r="G152" s="32">
        <v>45855</v>
      </c>
      <c r="H152" s="32">
        <v>45863</v>
      </c>
      <c r="I152" s="25">
        <v>8</v>
      </c>
      <c r="J152" s="33">
        <v>43384</v>
      </c>
      <c r="K152" s="25" t="s">
        <v>35</v>
      </c>
      <c r="L152" s="34" t="str">
        <f t="shared" si="2"/>
        <v>July</v>
      </c>
    </row>
    <row r="153" spans="1:12">
      <c r="A153" s="25" t="s">
        <v>332</v>
      </c>
      <c r="B153" s="25" t="s">
        <v>333</v>
      </c>
      <c r="C153" s="25">
        <v>77</v>
      </c>
      <c r="D153" s="25" t="s">
        <v>14</v>
      </c>
      <c r="E153" s="25" t="s">
        <v>28</v>
      </c>
      <c r="F153" s="25" t="s">
        <v>29</v>
      </c>
      <c r="G153" s="32">
        <v>45693</v>
      </c>
      <c r="H153" s="32">
        <v>45702</v>
      </c>
      <c r="I153" s="25">
        <v>9</v>
      </c>
      <c r="J153" s="33">
        <v>56061</v>
      </c>
      <c r="K153" s="25" t="s">
        <v>30</v>
      </c>
      <c r="L153" s="34" t="str">
        <f t="shared" si="2"/>
        <v>February</v>
      </c>
    </row>
    <row r="154" spans="1:12">
      <c r="A154" s="25" t="s">
        <v>334</v>
      </c>
      <c r="B154" s="25" t="s">
        <v>335</v>
      </c>
      <c r="C154" s="25">
        <v>36</v>
      </c>
      <c r="D154" s="25" t="s">
        <v>20</v>
      </c>
      <c r="E154" s="25" t="s">
        <v>23</v>
      </c>
      <c r="F154" s="25" t="s">
        <v>24</v>
      </c>
      <c r="G154" s="32">
        <v>45922</v>
      </c>
      <c r="H154" s="32">
        <v>45928</v>
      </c>
      <c r="I154" s="25">
        <v>6</v>
      </c>
      <c r="J154" s="33">
        <v>25830</v>
      </c>
      <c r="K154" s="25" t="s">
        <v>35</v>
      </c>
      <c r="L154" s="34" t="str">
        <f t="shared" si="2"/>
        <v>September</v>
      </c>
    </row>
    <row r="155" spans="1:12">
      <c r="A155" s="25" t="s">
        <v>336</v>
      </c>
      <c r="B155" s="25" t="s">
        <v>337</v>
      </c>
      <c r="C155" s="25">
        <v>55</v>
      </c>
      <c r="D155" s="25" t="s">
        <v>20</v>
      </c>
      <c r="E155" s="25" t="s">
        <v>28</v>
      </c>
      <c r="F155" s="25" t="s">
        <v>29</v>
      </c>
      <c r="G155" s="32">
        <v>45963</v>
      </c>
      <c r="H155" s="32">
        <v>45970</v>
      </c>
      <c r="I155" s="25">
        <v>7</v>
      </c>
      <c r="J155" s="33">
        <v>40502</v>
      </c>
      <c r="K155" s="25" t="s">
        <v>25</v>
      </c>
      <c r="L155" s="34" t="str">
        <f t="shared" si="2"/>
        <v>November</v>
      </c>
    </row>
    <row r="156" spans="1:12">
      <c r="A156" s="25" t="s">
        <v>338</v>
      </c>
      <c r="B156" s="25" t="s">
        <v>339</v>
      </c>
      <c r="C156" s="25">
        <v>40</v>
      </c>
      <c r="D156" s="25" t="s">
        <v>14</v>
      </c>
      <c r="E156" s="25" t="s">
        <v>28</v>
      </c>
      <c r="F156" s="25" t="s">
        <v>29</v>
      </c>
      <c r="G156" s="32">
        <v>45848</v>
      </c>
      <c r="H156" s="32">
        <v>45852</v>
      </c>
      <c r="I156" s="25">
        <v>4</v>
      </c>
      <c r="J156" s="33">
        <v>11148</v>
      </c>
      <c r="K156" s="25" t="s">
        <v>30</v>
      </c>
      <c r="L156" s="34" t="str">
        <f t="shared" si="2"/>
        <v>July</v>
      </c>
    </row>
    <row r="157" spans="1:12">
      <c r="A157" s="25" t="s">
        <v>340</v>
      </c>
      <c r="B157" s="25" t="s">
        <v>341</v>
      </c>
      <c r="C157" s="25">
        <v>59</v>
      </c>
      <c r="D157" s="25" t="s">
        <v>20</v>
      </c>
      <c r="E157" s="25" t="s">
        <v>23</v>
      </c>
      <c r="F157" s="25" t="s">
        <v>24</v>
      </c>
      <c r="G157" s="32">
        <v>45955</v>
      </c>
      <c r="H157" s="32">
        <v>45965</v>
      </c>
      <c r="I157" s="25">
        <v>10</v>
      </c>
      <c r="J157" s="33">
        <v>52290</v>
      </c>
      <c r="K157" s="25" t="s">
        <v>17</v>
      </c>
      <c r="L157" s="34" t="str">
        <f t="shared" si="2"/>
        <v>October</v>
      </c>
    </row>
    <row r="158" spans="1:12">
      <c r="A158" s="25" t="s">
        <v>342</v>
      </c>
      <c r="B158" s="25" t="s">
        <v>343</v>
      </c>
      <c r="C158" s="25">
        <v>32</v>
      </c>
      <c r="D158" s="25" t="s">
        <v>14</v>
      </c>
      <c r="E158" s="25" t="s">
        <v>15</v>
      </c>
      <c r="F158" s="25" t="s">
        <v>16</v>
      </c>
      <c r="G158" s="32">
        <v>45845</v>
      </c>
      <c r="H158" s="32">
        <v>45853</v>
      </c>
      <c r="I158" s="25">
        <v>8</v>
      </c>
      <c r="J158" s="33">
        <v>33160</v>
      </c>
      <c r="K158" s="25" t="s">
        <v>25</v>
      </c>
      <c r="L158" s="34" t="str">
        <f t="shared" si="2"/>
        <v>July</v>
      </c>
    </row>
    <row r="159" spans="1:12">
      <c r="A159" s="25" t="s">
        <v>344</v>
      </c>
      <c r="B159" s="25" t="s">
        <v>345</v>
      </c>
      <c r="C159" s="25">
        <v>28</v>
      </c>
      <c r="D159" s="25" t="s">
        <v>20</v>
      </c>
      <c r="E159" s="25" t="s">
        <v>28</v>
      </c>
      <c r="F159" s="25" t="s">
        <v>29</v>
      </c>
      <c r="G159" s="32">
        <v>45942</v>
      </c>
      <c r="H159" s="32">
        <v>45946</v>
      </c>
      <c r="I159" s="25">
        <v>4</v>
      </c>
      <c r="J159" s="33">
        <v>34488</v>
      </c>
      <c r="K159" s="25" t="s">
        <v>30</v>
      </c>
      <c r="L159" s="34" t="str">
        <f t="shared" si="2"/>
        <v>October</v>
      </c>
    </row>
    <row r="160" spans="1:12">
      <c r="A160" s="25" t="s">
        <v>346</v>
      </c>
      <c r="B160" s="25" t="s">
        <v>347</v>
      </c>
      <c r="C160" s="25">
        <v>62</v>
      </c>
      <c r="D160" s="25" t="s">
        <v>14</v>
      </c>
      <c r="E160" s="25" t="s">
        <v>48</v>
      </c>
      <c r="F160" s="25" t="s">
        <v>49</v>
      </c>
      <c r="G160" s="32">
        <v>45704</v>
      </c>
      <c r="H160" s="32">
        <v>45706</v>
      </c>
      <c r="I160" s="25">
        <v>2</v>
      </c>
      <c r="J160" s="33">
        <v>14460</v>
      </c>
      <c r="K160" s="25" t="s">
        <v>17</v>
      </c>
      <c r="L160" s="34" t="str">
        <f t="shared" si="2"/>
        <v>February</v>
      </c>
    </row>
    <row r="161" spans="1:12">
      <c r="A161" s="25" t="s">
        <v>348</v>
      </c>
      <c r="B161" s="25" t="s">
        <v>349</v>
      </c>
      <c r="C161" s="25">
        <v>41</v>
      </c>
      <c r="D161" s="25" t="s">
        <v>14</v>
      </c>
      <c r="E161" s="25" t="s">
        <v>48</v>
      </c>
      <c r="F161" s="25" t="s">
        <v>49</v>
      </c>
      <c r="G161" s="32">
        <v>45919</v>
      </c>
      <c r="H161" s="32">
        <v>45924</v>
      </c>
      <c r="I161" s="25">
        <v>5</v>
      </c>
      <c r="J161" s="33">
        <v>22165</v>
      </c>
      <c r="K161" s="25" t="s">
        <v>30</v>
      </c>
      <c r="L161" s="34" t="str">
        <f t="shared" si="2"/>
        <v>September</v>
      </c>
    </row>
    <row r="162" spans="1:12">
      <c r="A162" s="25" t="s">
        <v>350</v>
      </c>
      <c r="B162" s="25" t="s">
        <v>351</v>
      </c>
      <c r="C162" s="25">
        <v>36</v>
      </c>
      <c r="D162" s="25" t="s">
        <v>20</v>
      </c>
      <c r="E162" s="25" t="s">
        <v>28</v>
      </c>
      <c r="F162" s="25" t="s">
        <v>29</v>
      </c>
      <c r="G162" s="32">
        <v>45962</v>
      </c>
      <c r="H162" s="32">
        <v>45970</v>
      </c>
      <c r="I162" s="25">
        <v>8</v>
      </c>
      <c r="J162" s="33">
        <v>37688</v>
      </c>
      <c r="K162" s="25" t="s">
        <v>17</v>
      </c>
      <c r="L162" s="34" t="str">
        <f t="shared" si="2"/>
        <v>November</v>
      </c>
    </row>
    <row r="163" spans="1:12">
      <c r="A163" s="25" t="s">
        <v>352</v>
      </c>
      <c r="B163" s="25" t="s">
        <v>353</v>
      </c>
      <c r="C163" s="25">
        <v>67</v>
      </c>
      <c r="D163" s="25" t="s">
        <v>20</v>
      </c>
      <c r="E163" s="25" t="s">
        <v>48</v>
      </c>
      <c r="F163" s="25" t="s">
        <v>49</v>
      </c>
      <c r="G163" s="32">
        <v>45962</v>
      </c>
      <c r="H163" s="32">
        <v>45972</v>
      </c>
      <c r="I163" s="25">
        <v>10</v>
      </c>
      <c r="J163" s="33">
        <v>71440</v>
      </c>
      <c r="K163" s="25" t="s">
        <v>30</v>
      </c>
      <c r="L163" s="34" t="str">
        <f t="shared" si="2"/>
        <v>November</v>
      </c>
    </row>
    <row r="164" spans="1:12">
      <c r="A164" s="25" t="s">
        <v>354</v>
      </c>
      <c r="B164" s="25" t="s">
        <v>355</v>
      </c>
      <c r="C164" s="25">
        <v>40</v>
      </c>
      <c r="D164" s="25" t="s">
        <v>14</v>
      </c>
      <c r="E164" s="25" t="s">
        <v>33</v>
      </c>
      <c r="F164" s="25" t="s">
        <v>34</v>
      </c>
      <c r="G164" s="32">
        <v>45677</v>
      </c>
      <c r="H164" s="32">
        <v>45682</v>
      </c>
      <c r="I164" s="25">
        <v>5</v>
      </c>
      <c r="J164" s="33">
        <v>15065</v>
      </c>
      <c r="K164" s="25" t="s">
        <v>35</v>
      </c>
      <c r="L164" s="34" t="str">
        <f t="shared" si="2"/>
        <v>January</v>
      </c>
    </row>
    <row r="165" spans="1:12">
      <c r="A165" s="25" t="s">
        <v>356</v>
      </c>
      <c r="B165" s="25" t="s">
        <v>357</v>
      </c>
      <c r="C165" s="25">
        <v>25</v>
      </c>
      <c r="D165" s="25" t="s">
        <v>14</v>
      </c>
      <c r="E165" s="25" t="s">
        <v>28</v>
      </c>
      <c r="F165" s="25" t="s">
        <v>29</v>
      </c>
      <c r="G165" s="32">
        <v>45941</v>
      </c>
      <c r="H165" s="32">
        <v>45948</v>
      </c>
      <c r="I165" s="25">
        <v>7</v>
      </c>
      <c r="J165" s="33">
        <v>61341</v>
      </c>
      <c r="K165" s="25" t="s">
        <v>35</v>
      </c>
      <c r="L165" s="34" t="str">
        <f t="shared" si="2"/>
        <v>October</v>
      </c>
    </row>
    <row r="166" spans="1:12">
      <c r="A166" s="25" t="s">
        <v>358</v>
      </c>
      <c r="B166" s="25" t="s">
        <v>359</v>
      </c>
      <c r="C166" s="25">
        <v>40</v>
      </c>
      <c r="D166" s="25" t="s">
        <v>14</v>
      </c>
      <c r="E166" s="25" t="s">
        <v>33</v>
      </c>
      <c r="F166" s="25" t="s">
        <v>34</v>
      </c>
      <c r="G166" s="32">
        <v>45941</v>
      </c>
      <c r="H166" s="32">
        <v>45947</v>
      </c>
      <c r="I166" s="25">
        <v>6</v>
      </c>
      <c r="J166" s="33">
        <v>19428</v>
      </c>
      <c r="K166" s="25" t="s">
        <v>17</v>
      </c>
      <c r="L166" s="34" t="str">
        <f t="shared" si="2"/>
        <v>October</v>
      </c>
    </row>
    <row r="167" spans="1:12">
      <c r="A167" s="25" t="s">
        <v>360</v>
      </c>
      <c r="B167" s="25" t="s">
        <v>361</v>
      </c>
      <c r="C167" s="25">
        <v>29</v>
      </c>
      <c r="D167" s="25" t="s">
        <v>20</v>
      </c>
      <c r="E167" s="25" t="s">
        <v>40</v>
      </c>
      <c r="F167" s="25" t="s">
        <v>41</v>
      </c>
      <c r="G167" s="32">
        <v>45877</v>
      </c>
      <c r="H167" s="32">
        <v>45883</v>
      </c>
      <c r="I167" s="25">
        <v>6</v>
      </c>
      <c r="J167" s="33">
        <v>34182</v>
      </c>
      <c r="K167" s="25" t="s">
        <v>25</v>
      </c>
      <c r="L167" s="34" t="str">
        <f t="shared" si="2"/>
        <v>August</v>
      </c>
    </row>
    <row r="168" spans="1:12">
      <c r="A168" s="25" t="s">
        <v>362</v>
      </c>
      <c r="B168" s="25" t="s">
        <v>363</v>
      </c>
      <c r="C168" s="25">
        <v>18</v>
      </c>
      <c r="D168" s="25" t="s">
        <v>14</v>
      </c>
      <c r="E168" s="25" t="s">
        <v>40</v>
      </c>
      <c r="F168" s="25" t="s">
        <v>41</v>
      </c>
      <c r="G168" s="32">
        <v>45889</v>
      </c>
      <c r="H168" s="32">
        <v>45899</v>
      </c>
      <c r="I168" s="25">
        <v>10</v>
      </c>
      <c r="J168" s="33">
        <v>74900</v>
      </c>
      <c r="K168" s="25" t="s">
        <v>30</v>
      </c>
      <c r="L168" s="34" t="str">
        <f t="shared" si="2"/>
        <v>August</v>
      </c>
    </row>
    <row r="169" spans="1:12">
      <c r="A169" s="25" t="s">
        <v>364</v>
      </c>
      <c r="B169" s="25" t="s">
        <v>365</v>
      </c>
      <c r="C169" s="25">
        <v>49</v>
      </c>
      <c r="D169" s="25" t="s">
        <v>20</v>
      </c>
      <c r="E169" s="25" t="s">
        <v>40</v>
      </c>
      <c r="F169" s="25" t="s">
        <v>41</v>
      </c>
      <c r="G169" s="32">
        <v>45784</v>
      </c>
      <c r="H169" s="32">
        <v>45786</v>
      </c>
      <c r="I169" s="25">
        <v>2</v>
      </c>
      <c r="J169" s="33">
        <v>13566</v>
      </c>
      <c r="K169" s="25" t="s">
        <v>35</v>
      </c>
      <c r="L169" s="34" t="str">
        <f t="shared" si="2"/>
        <v>May</v>
      </c>
    </row>
    <row r="170" spans="1:12">
      <c r="A170" s="25" t="s">
        <v>366</v>
      </c>
      <c r="B170" s="25" t="s">
        <v>367</v>
      </c>
      <c r="C170" s="25">
        <v>22</v>
      </c>
      <c r="D170" s="25" t="s">
        <v>20</v>
      </c>
      <c r="E170" s="25" t="s">
        <v>40</v>
      </c>
      <c r="F170" s="25" t="s">
        <v>41</v>
      </c>
      <c r="G170" s="32">
        <v>45765</v>
      </c>
      <c r="H170" s="32">
        <v>45773</v>
      </c>
      <c r="I170" s="25">
        <v>8</v>
      </c>
      <c r="J170" s="33">
        <v>62032</v>
      </c>
      <c r="K170" s="25" t="s">
        <v>35</v>
      </c>
      <c r="L170" s="34" t="str">
        <f t="shared" si="2"/>
        <v>April</v>
      </c>
    </row>
    <row r="171" spans="1:12">
      <c r="A171" s="25" t="s">
        <v>368</v>
      </c>
      <c r="B171" s="25" t="s">
        <v>369</v>
      </c>
      <c r="C171" s="25">
        <v>69</v>
      </c>
      <c r="D171" s="25" t="s">
        <v>20</v>
      </c>
      <c r="E171" s="25" t="s">
        <v>48</v>
      </c>
      <c r="F171" s="25" t="s">
        <v>49</v>
      </c>
      <c r="G171" s="32">
        <v>45944</v>
      </c>
      <c r="H171" s="32">
        <v>45954</v>
      </c>
      <c r="I171" s="25">
        <v>10</v>
      </c>
      <c r="J171" s="33">
        <v>85980</v>
      </c>
      <c r="K171" s="25" t="s">
        <v>25</v>
      </c>
      <c r="L171" s="34" t="str">
        <f t="shared" si="2"/>
        <v>October</v>
      </c>
    </row>
    <row r="172" spans="1:12">
      <c r="A172" s="25" t="s">
        <v>370</v>
      </c>
      <c r="B172" s="25" t="s">
        <v>371</v>
      </c>
      <c r="C172" s="25">
        <v>37</v>
      </c>
      <c r="D172" s="25" t="s">
        <v>14</v>
      </c>
      <c r="E172" s="25" t="s">
        <v>23</v>
      </c>
      <c r="F172" s="25" t="s">
        <v>24</v>
      </c>
      <c r="G172" s="32">
        <v>45912</v>
      </c>
      <c r="H172" s="32">
        <v>45917</v>
      </c>
      <c r="I172" s="25">
        <v>5</v>
      </c>
      <c r="J172" s="33">
        <v>19660</v>
      </c>
      <c r="K172" s="25" t="s">
        <v>17</v>
      </c>
      <c r="L172" s="34" t="str">
        <f t="shared" si="2"/>
        <v>September</v>
      </c>
    </row>
    <row r="173" spans="1:12">
      <c r="A173" s="25" t="s">
        <v>372</v>
      </c>
      <c r="B173" s="25" t="s">
        <v>373</v>
      </c>
      <c r="C173" s="25">
        <v>66</v>
      </c>
      <c r="D173" s="25" t="s">
        <v>20</v>
      </c>
      <c r="E173" s="25" t="s">
        <v>23</v>
      </c>
      <c r="F173" s="25" t="s">
        <v>24</v>
      </c>
      <c r="G173" s="32">
        <v>45913</v>
      </c>
      <c r="H173" s="32">
        <v>45917</v>
      </c>
      <c r="I173" s="25">
        <v>4</v>
      </c>
      <c r="J173" s="33">
        <v>27520</v>
      </c>
      <c r="K173" s="25" t="s">
        <v>30</v>
      </c>
      <c r="L173" s="34" t="str">
        <f t="shared" si="2"/>
        <v>September</v>
      </c>
    </row>
    <row r="174" spans="1:12">
      <c r="A174" s="25" t="s">
        <v>374</v>
      </c>
      <c r="B174" s="25" t="s">
        <v>375</v>
      </c>
      <c r="C174" s="25">
        <v>28</v>
      </c>
      <c r="D174" s="25" t="s">
        <v>14</v>
      </c>
      <c r="E174" s="25" t="s">
        <v>23</v>
      </c>
      <c r="F174" s="25" t="s">
        <v>24</v>
      </c>
      <c r="G174" s="32">
        <v>45714</v>
      </c>
      <c r="H174" s="32">
        <v>45720</v>
      </c>
      <c r="I174" s="25">
        <v>6</v>
      </c>
      <c r="J174" s="33">
        <v>34242</v>
      </c>
      <c r="K174" s="25" t="s">
        <v>25</v>
      </c>
      <c r="L174" s="34" t="str">
        <f t="shared" si="2"/>
        <v>February</v>
      </c>
    </row>
    <row r="175" spans="1:12">
      <c r="A175" s="25" t="s">
        <v>376</v>
      </c>
      <c r="B175" s="25" t="s">
        <v>377</v>
      </c>
      <c r="C175" s="25">
        <v>25</v>
      </c>
      <c r="D175" s="25" t="s">
        <v>14</v>
      </c>
      <c r="E175" s="25" t="s">
        <v>33</v>
      </c>
      <c r="F175" s="25" t="s">
        <v>34</v>
      </c>
      <c r="G175" s="32">
        <v>45690</v>
      </c>
      <c r="H175" s="32">
        <v>45691</v>
      </c>
      <c r="I175" s="25">
        <v>1</v>
      </c>
      <c r="J175" s="33">
        <v>3674</v>
      </c>
      <c r="K175" s="25" t="s">
        <v>30</v>
      </c>
      <c r="L175" s="34" t="str">
        <f t="shared" si="2"/>
        <v>February</v>
      </c>
    </row>
    <row r="176" spans="1:12">
      <c r="A176" s="25" t="s">
        <v>378</v>
      </c>
      <c r="B176" s="25" t="s">
        <v>379</v>
      </c>
      <c r="C176" s="25">
        <v>42</v>
      </c>
      <c r="D176" s="25" t="s">
        <v>14</v>
      </c>
      <c r="E176" s="25" t="s">
        <v>23</v>
      </c>
      <c r="F176" s="25" t="s">
        <v>24</v>
      </c>
      <c r="G176" s="32">
        <v>45725</v>
      </c>
      <c r="H176" s="32">
        <v>45731</v>
      </c>
      <c r="I176" s="25">
        <v>6</v>
      </c>
      <c r="J176" s="33">
        <v>40746</v>
      </c>
      <c r="K176" s="25" t="s">
        <v>30</v>
      </c>
      <c r="L176" s="34" t="str">
        <f t="shared" si="2"/>
        <v>March</v>
      </c>
    </row>
    <row r="177" spans="1:12">
      <c r="A177" s="25" t="s">
        <v>380</v>
      </c>
      <c r="B177" s="25" t="s">
        <v>381</v>
      </c>
      <c r="C177" s="25">
        <v>31</v>
      </c>
      <c r="D177" s="25" t="s">
        <v>20</v>
      </c>
      <c r="E177" s="25" t="s">
        <v>40</v>
      </c>
      <c r="F177" s="25" t="s">
        <v>41</v>
      </c>
      <c r="G177" s="32">
        <v>45879</v>
      </c>
      <c r="H177" s="32">
        <v>45882</v>
      </c>
      <c r="I177" s="25">
        <v>3</v>
      </c>
      <c r="J177" s="33">
        <v>22080</v>
      </c>
      <c r="K177" s="25" t="s">
        <v>25</v>
      </c>
      <c r="L177" s="34" t="str">
        <f t="shared" si="2"/>
        <v>August</v>
      </c>
    </row>
    <row r="178" spans="1:12">
      <c r="A178" s="25" t="s">
        <v>382</v>
      </c>
      <c r="B178" s="25" t="s">
        <v>383</v>
      </c>
      <c r="C178" s="25">
        <v>45</v>
      </c>
      <c r="D178" s="25" t="s">
        <v>14</v>
      </c>
      <c r="E178" s="25" t="s">
        <v>33</v>
      </c>
      <c r="F178" s="25" t="s">
        <v>34</v>
      </c>
      <c r="G178" s="32">
        <v>45667</v>
      </c>
      <c r="H178" s="32">
        <v>45673</v>
      </c>
      <c r="I178" s="25">
        <v>6</v>
      </c>
      <c r="J178" s="33">
        <v>22824</v>
      </c>
      <c r="K178" s="25" t="s">
        <v>30</v>
      </c>
      <c r="L178" s="34" t="str">
        <f t="shared" si="2"/>
        <v>January</v>
      </c>
    </row>
    <row r="179" spans="1:12">
      <c r="A179" s="25" t="s">
        <v>384</v>
      </c>
      <c r="B179" s="25" t="s">
        <v>385</v>
      </c>
      <c r="C179" s="25">
        <v>77</v>
      </c>
      <c r="D179" s="25" t="s">
        <v>20</v>
      </c>
      <c r="E179" s="25" t="s">
        <v>23</v>
      </c>
      <c r="F179" s="25" t="s">
        <v>24</v>
      </c>
      <c r="G179" s="32">
        <v>45981</v>
      </c>
      <c r="H179" s="32">
        <v>45991</v>
      </c>
      <c r="I179" s="25">
        <v>10</v>
      </c>
      <c r="J179" s="33">
        <v>65320</v>
      </c>
      <c r="K179" s="25" t="s">
        <v>30</v>
      </c>
      <c r="L179" s="34" t="str">
        <f t="shared" si="2"/>
        <v>November</v>
      </c>
    </row>
    <row r="180" spans="1:12">
      <c r="A180" s="25" t="s">
        <v>386</v>
      </c>
      <c r="B180" s="25" t="s">
        <v>387</v>
      </c>
      <c r="C180" s="25">
        <v>35</v>
      </c>
      <c r="D180" s="25" t="s">
        <v>20</v>
      </c>
      <c r="E180" s="25" t="s">
        <v>15</v>
      </c>
      <c r="F180" s="25" t="s">
        <v>16</v>
      </c>
      <c r="G180" s="32">
        <v>45755</v>
      </c>
      <c r="H180" s="32">
        <v>45762</v>
      </c>
      <c r="I180" s="25">
        <v>7</v>
      </c>
      <c r="J180" s="33">
        <v>53123</v>
      </c>
      <c r="K180" s="25" t="s">
        <v>17</v>
      </c>
      <c r="L180" s="34" t="str">
        <f t="shared" si="2"/>
        <v>April</v>
      </c>
    </row>
    <row r="181" spans="1:12">
      <c r="A181" s="25" t="s">
        <v>388</v>
      </c>
      <c r="B181" s="25" t="s">
        <v>389</v>
      </c>
      <c r="C181" s="25">
        <v>18</v>
      </c>
      <c r="D181" s="25" t="s">
        <v>20</v>
      </c>
      <c r="E181" s="25" t="s">
        <v>23</v>
      </c>
      <c r="F181" s="25" t="s">
        <v>24</v>
      </c>
      <c r="G181" s="32">
        <v>45955</v>
      </c>
      <c r="H181" s="32">
        <v>45964</v>
      </c>
      <c r="I181" s="25">
        <v>9</v>
      </c>
      <c r="J181" s="33">
        <v>77211</v>
      </c>
      <c r="K181" s="25" t="s">
        <v>25</v>
      </c>
      <c r="L181" s="34" t="str">
        <f t="shared" si="2"/>
        <v>October</v>
      </c>
    </row>
    <row r="182" spans="1:12">
      <c r="A182" s="25" t="s">
        <v>390</v>
      </c>
      <c r="B182" s="25" t="s">
        <v>391</v>
      </c>
      <c r="C182" s="25">
        <v>54</v>
      </c>
      <c r="D182" s="25" t="s">
        <v>20</v>
      </c>
      <c r="E182" s="25" t="s">
        <v>33</v>
      </c>
      <c r="F182" s="25" t="s">
        <v>34</v>
      </c>
      <c r="G182" s="32">
        <v>45944</v>
      </c>
      <c r="H182" s="32">
        <v>45951</v>
      </c>
      <c r="I182" s="25">
        <v>7</v>
      </c>
      <c r="J182" s="33">
        <v>31108</v>
      </c>
      <c r="K182" s="25" t="s">
        <v>17</v>
      </c>
      <c r="L182" s="34" t="str">
        <f t="shared" si="2"/>
        <v>October</v>
      </c>
    </row>
    <row r="183" spans="1:12">
      <c r="A183" s="25" t="s">
        <v>392</v>
      </c>
      <c r="B183" s="25" t="s">
        <v>393</v>
      </c>
      <c r="C183" s="25">
        <v>79</v>
      </c>
      <c r="D183" s="25" t="s">
        <v>14</v>
      </c>
      <c r="E183" s="25" t="s">
        <v>23</v>
      </c>
      <c r="F183" s="25" t="s">
        <v>24</v>
      </c>
      <c r="G183" s="32">
        <v>45996</v>
      </c>
      <c r="H183" s="32">
        <v>45997</v>
      </c>
      <c r="I183" s="25">
        <v>1</v>
      </c>
      <c r="J183" s="33">
        <v>8696</v>
      </c>
      <c r="K183" s="25" t="s">
        <v>25</v>
      </c>
      <c r="L183" s="34" t="str">
        <f t="shared" si="2"/>
        <v>December</v>
      </c>
    </row>
    <row r="184" spans="1:12">
      <c r="A184" s="25" t="s">
        <v>394</v>
      </c>
      <c r="B184" s="25" t="s">
        <v>395</v>
      </c>
      <c r="C184" s="25">
        <v>43</v>
      </c>
      <c r="D184" s="25" t="s">
        <v>14</v>
      </c>
      <c r="E184" s="25" t="s">
        <v>48</v>
      </c>
      <c r="F184" s="25" t="s">
        <v>49</v>
      </c>
      <c r="G184" s="32">
        <v>45918</v>
      </c>
      <c r="H184" s="32">
        <v>45928</v>
      </c>
      <c r="I184" s="25">
        <v>10</v>
      </c>
      <c r="J184" s="33">
        <v>50210</v>
      </c>
      <c r="K184" s="25" t="s">
        <v>35</v>
      </c>
      <c r="L184" s="34" t="str">
        <f t="shared" si="2"/>
        <v>September</v>
      </c>
    </row>
    <row r="185" spans="1:12">
      <c r="A185" s="25" t="s">
        <v>396</v>
      </c>
      <c r="B185" s="25" t="s">
        <v>397</v>
      </c>
      <c r="C185" s="25">
        <v>79</v>
      </c>
      <c r="D185" s="25" t="s">
        <v>14</v>
      </c>
      <c r="E185" s="25" t="s">
        <v>40</v>
      </c>
      <c r="F185" s="25" t="s">
        <v>41</v>
      </c>
      <c r="G185" s="32">
        <v>45759</v>
      </c>
      <c r="H185" s="32">
        <v>45767</v>
      </c>
      <c r="I185" s="25">
        <v>8</v>
      </c>
      <c r="J185" s="33">
        <v>35832</v>
      </c>
      <c r="K185" s="25" t="s">
        <v>35</v>
      </c>
      <c r="L185" s="34" t="str">
        <f t="shared" si="2"/>
        <v>April</v>
      </c>
    </row>
    <row r="186" spans="1:12">
      <c r="A186" s="25" t="s">
        <v>398</v>
      </c>
      <c r="B186" s="25" t="s">
        <v>399</v>
      </c>
      <c r="C186" s="25">
        <v>19</v>
      </c>
      <c r="D186" s="25" t="s">
        <v>14</v>
      </c>
      <c r="E186" s="25" t="s">
        <v>15</v>
      </c>
      <c r="F186" s="25" t="s">
        <v>16</v>
      </c>
      <c r="G186" s="32">
        <v>45796</v>
      </c>
      <c r="H186" s="32">
        <v>45799</v>
      </c>
      <c r="I186" s="25">
        <v>3</v>
      </c>
      <c r="J186" s="33">
        <v>15876</v>
      </c>
      <c r="K186" s="25" t="s">
        <v>17</v>
      </c>
      <c r="L186" s="34" t="str">
        <f t="shared" si="2"/>
        <v>May</v>
      </c>
    </row>
    <row r="187" spans="1:12">
      <c r="A187" s="25" t="s">
        <v>400</v>
      </c>
      <c r="B187" s="25" t="s">
        <v>401</v>
      </c>
      <c r="C187" s="25">
        <v>62</v>
      </c>
      <c r="D187" s="25" t="s">
        <v>20</v>
      </c>
      <c r="E187" s="25" t="s">
        <v>15</v>
      </c>
      <c r="F187" s="25" t="s">
        <v>16</v>
      </c>
      <c r="G187" s="32">
        <v>45748</v>
      </c>
      <c r="H187" s="32">
        <v>45754</v>
      </c>
      <c r="I187" s="25">
        <v>6</v>
      </c>
      <c r="J187" s="33">
        <v>18786</v>
      </c>
      <c r="K187" s="25" t="s">
        <v>25</v>
      </c>
      <c r="L187" s="34" t="str">
        <f t="shared" si="2"/>
        <v>April</v>
      </c>
    </row>
    <row r="188" spans="1:12">
      <c r="A188" s="25" t="s">
        <v>402</v>
      </c>
      <c r="B188" s="25" t="s">
        <v>403</v>
      </c>
      <c r="C188" s="25">
        <v>33</v>
      </c>
      <c r="D188" s="25" t="s">
        <v>14</v>
      </c>
      <c r="E188" s="25" t="s">
        <v>28</v>
      </c>
      <c r="F188" s="25" t="s">
        <v>29</v>
      </c>
      <c r="G188" s="32">
        <v>45993</v>
      </c>
      <c r="H188" s="32">
        <v>46002</v>
      </c>
      <c r="I188" s="25">
        <v>9</v>
      </c>
      <c r="J188" s="33">
        <v>44910</v>
      </c>
      <c r="K188" s="25" t="s">
        <v>35</v>
      </c>
      <c r="L188" s="34" t="str">
        <f t="shared" si="2"/>
        <v>December</v>
      </c>
    </row>
    <row r="189" spans="1:12">
      <c r="A189" s="25" t="s">
        <v>404</v>
      </c>
      <c r="B189" s="25" t="s">
        <v>405</v>
      </c>
      <c r="C189" s="25">
        <v>72</v>
      </c>
      <c r="D189" s="25" t="s">
        <v>20</v>
      </c>
      <c r="E189" s="25" t="s">
        <v>33</v>
      </c>
      <c r="F189" s="25" t="s">
        <v>34</v>
      </c>
      <c r="G189" s="32">
        <v>46013</v>
      </c>
      <c r="H189" s="32">
        <v>46020</v>
      </c>
      <c r="I189" s="25">
        <v>7</v>
      </c>
      <c r="J189" s="33">
        <v>48146</v>
      </c>
      <c r="K189" s="25" t="s">
        <v>25</v>
      </c>
      <c r="L189" s="34" t="str">
        <f t="shared" si="2"/>
        <v>December</v>
      </c>
    </row>
    <row r="190" spans="1:12">
      <c r="A190" s="25" t="s">
        <v>406</v>
      </c>
      <c r="B190" s="25" t="s">
        <v>407</v>
      </c>
      <c r="C190" s="25">
        <v>62</v>
      </c>
      <c r="D190" s="25" t="s">
        <v>14</v>
      </c>
      <c r="E190" s="25" t="s">
        <v>40</v>
      </c>
      <c r="F190" s="25" t="s">
        <v>41</v>
      </c>
      <c r="G190" s="32">
        <v>45874</v>
      </c>
      <c r="H190" s="32">
        <v>45875</v>
      </c>
      <c r="I190" s="25">
        <v>1</v>
      </c>
      <c r="J190" s="33">
        <v>7196</v>
      </c>
      <c r="K190" s="25" t="s">
        <v>17</v>
      </c>
      <c r="L190" s="34" t="str">
        <f t="shared" si="2"/>
        <v>August</v>
      </c>
    </row>
    <row r="191" spans="1:12">
      <c r="A191" s="25" t="s">
        <v>408</v>
      </c>
      <c r="B191" s="25" t="s">
        <v>409</v>
      </c>
      <c r="C191" s="25">
        <v>20</v>
      </c>
      <c r="D191" s="25" t="s">
        <v>20</v>
      </c>
      <c r="E191" s="25" t="s">
        <v>15</v>
      </c>
      <c r="F191" s="25" t="s">
        <v>16</v>
      </c>
      <c r="G191" s="32">
        <v>45928</v>
      </c>
      <c r="H191" s="32">
        <v>45936</v>
      </c>
      <c r="I191" s="25">
        <v>8</v>
      </c>
      <c r="J191" s="33">
        <v>71560</v>
      </c>
      <c r="K191" s="25" t="s">
        <v>35</v>
      </c>
      <c r="L191" s="34" t="str">
        <f t="shared" si="2"/>
        <v>September</v>
      </c>
    </row>
    <row r="192" spans="1:12">
      <c r="A192" s="25" t="s">
        <v>410</v>
      </c>
      <c r="B192" s="25" t="s">
        <v>411</v>
      </c>
      <c r="C192" s="25">
        <v>33</v>
      </c>
      <c r="D192" s="25" t="s">
        <v>14</v>
      </c>
      <c r="E192" s="25" t="s">
        <v>28</v>
      </c>
      <c r="F192" s="25" t="s">
        <v>29</v>
      </c>
      <c r="G192" s="32">
        <v>45720</v>
      </c>
      <c r="H192" s="32">
        <v>45729</v>
      </c>
      <c r="I192" s="25">
        <v>9</v>
      </c>
      <c r="J192" s="33">
        <v>76329</v>
      </c>
      <c r="K192" s="25" t="s">
        <v>17</v>
      </c>
      <c r="L192" s="34" t="str">
        <f t="shared" si="2"/>
        <v>March</v>
      </c>
    </row>
    <row r="193" spans="1:12">
      <c r="A193" s="25" t="s">
        <v>412</v>
      </c>
      <c r="B193" s="25" t="s">
        <v>413</v>
      </c>
      <c r="C193" s="25">
        <v>19</v>
      </c>
      <c r="D193" s="25" t="s">
        <v>20</v>
      </c>
      <c r="E193" s="25" t="s">
        <v>40</v>
      </c>
      <c r="F193" s="25" t="s">
        <v>41</v>
      </c>
      <c r="G193" s="32">
        <v>45754</v>
      </c>
      <c r="H193" s="32">
        <v>45763</v>
      </c>
      <c r="I193" s="25">
        <v>9</v>
      </c>
      <c r="J193" s="33">
        <v>30798</v>
      </c>
      <c r="K193" s="25" t="s">
        <v>30</v>
      </c>
      <c r="L193" s="34" t="str">
        <f t="shared" si="2"/>
        <v>April</v>
      </c>
    </row>
    <row r="194" spans="1:12">
      <c r="A194" s="25" t="s">
        <v>414</v>
      </c>
      <c r="B194" s="25" t="s">
        <v>415</v>
      </c>
      <c r="C194" s="25">
        <v>63</v>
      </c>
      <c r="D194" s="25" t="s">
        <v>20</v>
      </c>
      <c r="E194" s="25" t="s">
        <v>40</v>
      </c>
      <c r="F194" s="25" t="s">
        <v>41</v>
      </c>
      <c r="G194" s="32">
        <v>45996</v>
      </c>
      <c r="H194" s="32">
        <v>45997</v>
      </c>
      <c r="I194" s="25">
        <v>1</v>
      </c>
      <c r="J194" s="33">
        <v>6414</v>
      </c>
      <c r="K194" s="25" t="s">
        <v>35</v>
      </c>
      <c r="L194" s="34" t="str">
        <f t="shared" si="2"/>
        <v>December</v>
      </c>
    </row>
    <row r="195" spans="1:12">
      <c r="A195" s="25" t="s">
        <v>416</v>
      </c>
      <c r="B195" s="25" t="s">
        <v>417</v>
      </c>
      <c r="C195" s="25">
        <v>27</v>
      </c>
      <c r="D195" s="25" t="s">
        <v>14</v>
      </c>
      <c r="E195" s="25" t="s">
        <v>33</v>
      </c>
      <c r="F195" s="25" t="s">
        <v>34</v>
      </c>
      <c r="G195" s="32">
        <v>45942</v>
      </c>
      <c r="H195" s="32">
        <v>45943</v>
      </c>
      <c r="I195" s="25">
        <v>1</v>
      </c>
      <c r="J195" s="33">
        <v>6873</v>
      </c>
      <c r="K195" s="25" t="s">
        <v>25</v>
      </c>
      <c r="L195" s="34" t="str">
        <f t="shared" si="2"/>
        <v>October</v>
      </c>
    </row>
    <row r="196" spans="1:12">
      <c r="A196" s="25" t="s">
        <v>418</v>
      </c>
      <c r="B196" s="25" t="s">
        <v>419</v>
      </c>
      <c r="C196" s="25">
        <v>78</v>
      </c>
      <c r="D196" s="25" t="s">
        <v>14</v>
      </c>
      <c r="E196" s="25" t="s">
        <v>28</v>
      </c>
      <c r="F196" s="25" t="s">
        <v>29</v>
      </c>
      <c r="G196" s="32">
        <v>45765</v>
      </c>
      <c r="H196" s="32">
        <v>45775</v>
      </c>
      <c r="I196" s="25">
        <v>10</v>
      </c>
      <c r="J196" s="33">
        <v>56380</v>
      </c>
      <c r="K196" s="25" t="s">
        <v>25</v>
      </c>
      <c r="L196" s="34" t="str">
        <f t="shared" ref="L196:L201" si="3">TEXT(G196,"mmmm")</f>
        <v>April</v>
      </c>
    </row>
    <row r="197" spans="1:12">
      <c r="A197" s="25" t="s">
        <v>420</v>
      </c>
      <c r="B197" s="25" t="s">
        <v>421</v>
      </c>
      <c r="C197" s="25">
        <v>46</v>
      </c>
      <c r="D197" s="25" t="s">
        <v>20</v>
      </c>
      <c r="E197" s="25" t="s">
        <v>48</v>
      </c>
      <c r="F197" s="25" t="s">
        <v>49</v>
      </c>
      <c r="G197" s="32">
        <v>45942</v>
      </c>
      <c r="H197" s="32">
        <v>45951</v>
      </c>
      <c r="I197" s="25">
        <v>9</v>
      </c>
      <c r="J197" s="33">
        <v>33021</v>
      </c>
      <c r="K197" s="25" t="s">
        <v>35</v>
      </c>
      <c r="L197" s="34" t="str">
        <f t="shared" si="3"/>
        <v>October</v>
      </c>
    </row>
    <row r="198" spans="1:12">
      <c r="A198" s="25" t="s">
        <v>422</v>
      </c>
      <c r="B198" s="25" t="s">
        <v>423</v>
      </c>
      <c r="C198" s="25">
        <v>61</v>
      </c>
      <c r="D198" s="25" t="s">
        <v>14</v>
      </c>
      <c r="E198" s="25" t="s">
        <v>48</v>
      </c>
      <c r="F198" s="25" t="s">
        <v>49</v>
      </c>
      <c r="G198" s="32">
        <v>45754</v>
      </c>
      <c r="H198" s="32">
        <v>45762</v>
      </c>
      <c r="I198" s="25">
        <v>8</v>
      </c>
      <c r="J198" s="33">
        <v>33680</v>
      </c>
      <c r="K198" s="25" t="s">
        <v>35</v>
      </c>
      <c r="L198" s="34" t="str">
        <f t="shared" si="3"/>
        <v>April</v>
      </c>
    </row>
    <row r="199" spans="1:12">
      <c r="A199" s="25" t="s">
        <v>424</v>
      </c>
      <c r="B199" s="25" t="s">
        <v>425</v>
      </c>
      <c r="C199" s="25">
        <v>56</v>
      </c>
      <c r="D199" s="25" t="s">
        <v>14</v>
      </c>
      <c r="E199" s="25" t="s">
        <v>40</v>
      </c>
      <c r="F199" s="25" t="s">
        <v>41</v>
      </c>
      <c r="G199" s="32">
        <v>45899</v>
      </c>
      <c r="H199" s="32">
        <v>45908</v>
      </c>
      <c r="I199" s="25">
        <v>9</v>
      </c>
      <c r="J199" s="33">
        <v>72738</v>
      </c>
      <c r="K199" s="25" t="s">
        <v>17</v>
      </c>
      <c r="L199" s="34" t="str">
        <f t="shared" si="3"/>
        <v>August</v>
      </c>
    </row>
    <row r="200" spans="1:12">
      <c r="A200" s="25" t="s">
        <v>426</v>
      </c>
      <c r="B200" s="25" t="s">
        <v>427</v>
      </c>
      <c r="C200" s="25">
        <v>21</v>
      </c>
      <c r="D200" s="25" t="s">
        <v>20</v>
      </c>
      <c r="E200" s="25" t="s">
        <v>28</v>
      </c>
      <c r="F200" s="25" t="s">
        <v>29</v>
      </c>
      <c r="G200" s="32">
        <v>45691</v>
      </c>
      <c r="H200" s="32">
        <v>45693</v>
      </c>
      <c r="I200" s="25">
        <v>2</v>
      </c>
      <c r="J200" s="33">
        <v>6482</v>
      </c>
      <c r="K200" s="25" t="s">
        <v>17</v>
      </c>
      <c r="L200" s="34" t="str">
        <f t="shared" si="3"/>
        <v>February</v>
      </c>
    </row>
    <row r="201" spans="1:12">
      <c r="A201" s="25" t="s">
        <v>428</v>
      </c>
      <c r="B201" s="25" t="s">
        <v>429</v>
      </c>
      <c r="C201" s="25">
        <v>41</v>
      </c>
      <c r="D201" s="25" t="s">
        <v>20</v>
      </c>
      <c r="E201" s="25" t="s">
        <v>15</v>
      </c>
      <c r="F201" s="25" t="s">
        <v>16</v>
      </c>
      <c r="G201" s="32">
        <v>45916</v>
      </c>
      <c r="H201" s="32">
        <v>45921</v>
      </c>
      <c r="I201" s="25">
        <v>5</v>
      </c>
      <c r="J201" s="33">
        <v>43750</v>
      </c>
      <c r="K201" s="25" t="s">
        <v>30</v>
      </c>
      <c r="L201" s="34" t="str">
        <f t="shared" si="3"/>
        <v>September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E2" sqref="E2"/>
    </sheetView>
  </sheetViews>
  <sheetFormatPr defaultRowHeight="15"/>
  <cols>
    <col min="1" max="1" width="16.28515625" bestFit="1" customWidth="1"/>
    <col min="2" max="2" width="12.85546875" bestFit="1" customWidth="1"/>
    <col min="4" max="4" width="16.28515625" bestFit="1" customWidth="1"/>
    <col min="5" max="5" width="12.42578125" bestFit="1" customWidth="1"/>
  </cols>
  <sheetData>
    <row r="1" spans="1:5" s="1" customFormat="1" ht="14.25" customHeight="1">
      <c r="A1" s="22" t="s">
        <v>4</v>
      </c>
      <c r="B1" s="22" t="s">
        <v>430</v>
      </c>
      <c r="C1" s="2" t="s">
        <v>448</v>
      </c>
      <c r="D1" s="22" t="s">
        <v>4</v>
      </c>
      <c r="E1" s="22" t="s">
        <v>431</v>
      </c>
    </row>
    <row r="2" spans="1:5">
      <c r="A2" s="25" t="s">
        <v>15</v>
      </c>
      <c r="B2" s="25">
        <f>COUNTIF(Patient_Data!E:E,A2)</f>
        <v>31</v>
      </c>
      <c r="C2" s="3"/>
      <c r="D2" s="25" t="s">
        <v>15</v>
      </c>
      <c r="E2" s="25" t="str">
        <f>VLOOKUP(A2,Patient_Data!$E$2:$F$201,2,FALSE)</f>
        <v>Dr. Sharma</v>
      </c>
    </row>
    <row r="3" spans="1:5">
      <c r="A3" s="25" t="s">
        <v>23</v>
      </c>
      <c r="B3" s="25">
        <f>COUNTIF(Patient_Data!E:E,A3)</f>
        <v>40</v>
      </c>
      <c r="C3" s="3"/>
      <c r="D3" s="25" t="s">
        <v>23</v>
      </c>
      <c r="E3" s="25" t="str">
        <f>VLOOKUP(A3,Patient_Data!$E$2:$F$201,2,FALSE)</f>
        <v>Dr. Mehta</v>
      </c>
    </row>
    <row r="4" spans="1:5">
      <c r="A4" s="25" t="s">
        <v>48</v>
      </c>
      <c r="B4" s="25">
        <f>COUNTIF(Patient_Data!E:E,A4)</f>
        <v>38</v>
      </c>
      <c r="C4" s="3"/>
      <c r="D4" s="25" t="s">
        <v>48</v>
      </c>
      <c r="E4" s="25" t="str">
        <f>VLOOKUP(A4,Patient_Data!$E$2:$F$201,2,FALSE)</f>
        <v>Dr. Singh</v>
      </c>
    </row>
    <row r="5" spans="1:5">
      <c r="A5" s="25" t="s">
        <v>28</v>
      </c>
      <c r="B5" s="25">
        <f>COUNTIF(Patient_Data!E:E,A5)</f>
        <v>33</v>
      </c>
      <c r="C5" s="3"/>
      <c r="D5" s="25" t="s">
        <v>28</v>
      </c>
      <c r="E5" s="25" t="str">
        <f>VLOOKUP(A5,Patient_Data!$E$2:$F$201,2,FALSE)</f>
        <v>Dr. Khan</v>
      </c>
    </row>
    <row r="6" spans="1:5">
      <c r="A6" s="25" t="s">
        <v>33</v>
      </c>
      <c r="B6" s="25">
        <f>COUNTIF(Patient_Data!E:E,A6)</f>
        <v>30</v>
      </c>
      <c r="C6" s="3"/>
      <c r="D6" s="25" t="s">
        <v>33</v>
      </c>
      <c r="E6" s="25" t="str">
        <f>VLOOKUP(A6,Patient_Data!$E$2:$F$201,2,FALSE)</f>
        <v>Dr. Verma</v>
      </c>
    </row>
    <row r="7" spans="1:5">
      <c r="A7" s="25" t="s">
        <v>40</v>
      </c>
      <c r="B7" s="25">
        <f>COUNTIF(Patient_Data!E:E,A7)</f>
        <v>28</v>
      </c>
      <c r="C7" s="3"/>
      <c r="D7" s="25" t="s">
        <v>40</v>
      </c>
      <c r="E7" s="25" t="str">
        <f>VLOOKUP(A7,Patient_Data!$E$2:$F$201,2,FALSE)</f>
        <v>Dr. Gupta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O16" sqref="O16"/>
    </sheetView>
  </sheetViews>
  <sheetFormatPr defaultRowHeight="15"/>
  <cols>
    <col min="1" max="1" width="16.28515625" bestFit="1" customWidth="1"/>
    <col min="2" max="2" width="17.85546875" bestFit="1" customWidth="1"/>
  </cols>
  <sheetData>
    <row r="1" spans="1:2">
      <c r="A1" s="27" t="s">
        <v>4</v>
      </c>
      <c r="B1" s="27" t="s">
        <v>432</v>
      </c>
    </row>
    <row r="2" spans="1:2">
      <c r="A2" s="28" t="s">
        <v>15</v>
      </c>
      <c r="B2" s="29">
        <v>31</v>
      </c>
    </row>
    <row r="3" spans="1:2">
      <c r="A3" s="28" t="s">
        <v>28</v>
      </c>
      <c r="B3" s="29">
        <v>33</v>
      </c>
    </row>
    <row r="4" spans="1:2">
      <c r="A4" s="28" t="s">
        <v>40</v>
      </c>
      <c r="B4" s="29">
        <v>28</v>
      </c>
    </row>
    <row r="5" spans="1:2">
      <c r="A5" s="28" t="s">
        <v>23</v>
      </c>
      <c r="B5" s="29">
        <v>40</v>
      </c>
    </row>
    <row r="6" spans="1:2">
      <c r="A6" s="28" t="s">
        <v>48</v>
      </c>
      <c r="B6" s="29">
        <v>38</v>
      </c>
    </row>
    <row r="7" spans="1:2">
      <c r="A7" s="28" t="s">
        <v>33</v>
      </c>
      <c r="B7" s="29">
        <v>30</v>
      </c>
    </row>
    <row r="8" spans="1:2">
      <c r="A8" s="28" t="s">
        <v>433</v>
      </c>
      <c r="B8" s="29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P11" sqref="P11"/>
    </sheetView>
  </sheetViews>
  <sheetFormatPr defaultRowHeight="15"/>
  <cols>
    <col min="1" max="1" width="11.42578125" bestFit="1" customWidth="1"/>
    <col min="2" max="2" width="17.85546875" bestFit="1" customWidth="1"/>
  </cols>
  <sheetData>
    <row r="1" spans="1:2">
      <c r="A1" s="27" t="s">
        <v>5</v>
      </c>
      <c r="B1" s="27" t="s">
        <v>432</v>
      </c>
    </row>
    <row r="2" spans="1:2">
      <c r="A2" s="28" t="s">
        <v>41</v>
      </c>
      <c r="B2" s="29">
        <v>28</v>
      </c>
    </row>
    <row r="3" spans="1:2">
      <c r="A3" s="28" t="s">
        <v>29</v>
      </c>
      <c r="B3" s="29">
        <v>33</v>
      </c>
    </row>
    <row r="4" spans="1:2">
      <c r="A4" s="28" t="s">
        <v>24</v>
      </c>
      <c r="B4" s="29">
        <v>40</v>
      </c>
    </row>
    <row r="5" spans="1:2">
      <c r="A5" s="28" t="s">
        <v>16</v>
      </c>
      <c r="B5" s="29">
        <v>31</v>
      </c>
    </row>
    <row r="6" spans="1:2">
      <c r="A6" s="28" t="s">
        <v>49</v>
      </c>
      <c r="B6" s="29">
        <v>38</v>
      </c>
    </row>
    <row r="7" spans="1:2">
      <c r="A7" s="28" t="s">
        <v>34</v>
      </c>
      <c r="B7" s="29">
        <v>30</v>
      </c>
    </row>
    <row r="8" spans="1:2">
      <c r="A8" s="28" t="s">
        <v>433</v>
      </c>
      <c r="B8" s="29">
        <v>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M9" sqref="M9"/>
    </sheetView>
  </sheetViews>
  <sheetFormatPr defaultRowHeight="15"/>
  <cols>
    <col min="1" max="1" width="11.42578125" bestFit="1" customWidth="1"/>
    <col min="2" max="2" width="17.85546875" bestFit="1" customWidth="1"/>
  </cols>
  <sheetData>
    <row r="3" spans="1:2">
      <c r="A3" s="27" t="s">
        <v>3</v>
      </c>
      <c r="B3" s="27" t="s">
        <v>432</v>
      </c>
    </row>
    <row r="4" spans="1:2">
      <c r="A4" s="28" t="s">
        <v>20</v>
      </c>
      <c r="B4" s="29">
        <v>104</v>
      </c>
    </row>
    <row r="5" spans="1:2">
      <c r="A5" s="28" t="s">
        <v>14</v>
      </c>
      <c r="B5" s="29">
        <v>96</v>
      </c>
    </row>
    <row r="6" spans="1:2">
      <c r="A6" s="28" t="s">
        <v>433</v>
      </c>
      <c r="B6" s="29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P18" sqref="P18"/>
    </sheetView>
  </sheetViews>
  <sheetFormatPr defaultRowHeight="15"/>
  <cols>
    <col min="1" max="1" width="11.42578125" bestFit="1" customWidth="1"/>
    <col min="2" max="2" width="21.28515625" bestFit="1" customWidth="1"/>
  </cols>
  <sheetData>
    <row r="1" spans="1:2">
      <c r="A1" s="27" t="s">
        <v>11</v>
      </c>
      <c r="B1" s="27" t="s">
        <v>434</v>
      </c>
    </row>
    <row r="2" spans="1:2">
      <c r="A2" s="28" t="s">
        <v>435</v>
      </c>
      <c r="B2" s="30">
        <v>533922</v>
      </c>
    </row>
    <row r="3" spans="1:2">
      <c r="A3" s="28" t="s">
        <v>436</v>
      </c>
      <c r="B3" s="30">
        <v>500255</v>
      </c>
    </row>
    <row r="4" spans="1:2">
      <c r="A4" s="28" t="s">
        <v>437</v>
      </c>
      <c r="B4" s="30">
        <v>548313</v>
      </c>
    </row>
    <row r="5" spans="1:2">
      <c r="A5" s="28" t="s">
        <v>438</v>
      </c>
      <c r="B5" s="30">
        <v>800987</v>
      </c>
    </row>
    <row r="6" spans="1:2">
      <c r="A6" s="28" t="s">
        <v>439</v>
      </c>
      <c r="B6" s="30">
        <v>428401</v>
      </c>
    </row>
    <row r="7" spans="1:2">
      <c r="A7" s="28" t="s">
        <v>440</v>
      </c>
      <c r="B7" s="30">
        <v>264517</v>
      </c>
    </row>
    <row r="8" spans="1:2">
      <c r="A8" s="28" t="s">
        <v>441</v>
      </c>
      <c r="B8" s="30">
        <v>551577</v>
      </c>
    </row>
    <row r="9" spans="1:2">
      <c r="A9" s="28" t="s">
        <v>442</v>
      </c>
      <c r="B9" s="30">
        <v>513963</v>
      </c>
    </row>
    <row r="10" spans="1:2">
      <c r="A10" s="28" t="s">
        <v>443</v>
      </c>
      <c r="B10" s="30">
        <v>508317</v>
      </c>
    </row>
    <row r="11" spans="1:2">
      <c r="A11" s="28" t="s">
        <v>444</v>
      </c>
      <c r="B11" s="30">
        <v>1094023</v>
      </c>
    </row>
    <row r="12" spans="1:2">
      <c r="A12" s="28" t="s">
        <v>445</v>
      </c>
      <c r="B12" s="30">
        <v>714131</v>
      </c>
    </row>
    <row r="13" spans="1:2">
      <c r="A13" s="28" t="s">
        <v>446</v>
      </c>
      <c r="B13" s="30">
        <v>500106</v>
      </c>
    </row>
    <row r="14" spans="1:2">
      <c r="A14" s="28" t="s">
        <v>433</v>
      </c>
      <c r="B14" s="30">
        <v>6958512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42"/>
  <sheetViews>
    <sheetView showGridLines="0" tabSelected="1" topLeftCell="G1" zoomScale="50" zoomScaleNormal="50" workbookViewId="0">
      <selection activeCell="AG34" sqref="AG30:AU34"/>
    </sheetView>
  </sheetViews>
  <sheetFormatPr defaultRowHeight="15"/>
  <cols>
    <col min="1" max="1" width="27" bestFit="1" customWidth="1"/>
  </cols>
  <sheetData>
    <row r="1" spans="1:65" s="7" customFormat="1" ht="26.25">
      <c r="A1" s="20" t="s">
        <v>447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18"/>
      <c r="T1" s="18"/>
      <c r="U1" s="18"/>
      <c r="V1" s="18"/>
      <c r="W1" s="18"/>
      <c r="X1" s="19"/>
      <c r="Y1" s="6"/>
      <c r="Z1" s="6"/>
      <c r="AA1" s="6"/>
      <c r="AB1" s="6"/>
      <c r="AC1" s="6"/>
      <c r="AD1" s="6"/>
      <c r="AE1" s="5"/>
      <c r="AF1" s="5"/>
      <c r="AG1" s="5"/>
      <c r="AH1" s="5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</row>
    <row r="2" spans="1:6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65">
      <c r="A3" s="1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4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65">
      <c r="A4" s="13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4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65">
      <c r="A5" s="13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4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65">
      <c r="A6" s="1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4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65">
      <c r="A7" s="1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4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65">
      <c r="A8" s="1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4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65">
      <c r="A9" s="1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4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65">
      <c r="A10" s="1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4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65">
      <c r="A11" s="1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4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65">
      <c r="A12" s="13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4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65">
      <c r="A13" s="1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4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65">
      <c r="A14" s="1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4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65">
      <c r="A15" s="13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4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65">
      <c r="A16" s="13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4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>
      <c r="A17" s="13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4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>
      <c r="A18" s="1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8"/>
      <c r="Q18" s="8"/>
      <c r="R18" s="8"/>
      <c r="S18" s="8"/>
      <c r="T18" s="8"/>
      <c r="U18" s="8"/>
      <c r="V18" s="8"/>
      <c r="W18" s="8"/>
      <c r="X18" s="14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>
      <c r="A19" s="1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4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>
      <c r="A20" s="1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4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>
      <c r="A21" s="1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4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>
      <c r="A22" s="1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4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>
      <c r="A23" s="1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4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>
      <c r="A24" s="1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4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>
      <c r="A25" s="1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4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>
      <c r="A26" s="1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4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>
      <c r="A27" s="1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4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4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>
      <c r="A29" s="1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4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>
      <c r="A30" s="1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4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4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>
      <c r="A32" s="1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4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>
      <c r="A33" s="1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4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>
      <c r="A34" s="1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4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>
      <c r="A35" s="1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4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>
      <c r="A36" s="1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4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>
      <c r="A37" s="1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4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>
      <c r="A38" s="1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4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>
      <c r="A39" s="1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4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>
      <c r="A40" s="1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4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>
      <c r="A41" s="1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4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7"/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Patient_Data</vt:lpstr>
      <vt:lpstr>Analysis</vt:lpstr>
      <vt:lpstr>Department Analysis</vt:lpstr>
      <vt:lpstr>Doctor Analysis</vt:lpstr>
      <vt:lpstr>Gender Analysis</vt:lpstr>
      <vt:lpstr>Treatment Cost Analysis</vt:lpstr>
      <vt:lpstr>Health Dashboard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DELL</cp:lastModifiedBy>
  <cp:revision/>
  <dcterms:created xsi:type="dcterms:W3CDTF">2026-06-27T14:54:32Z</dcterms:created>
  <dcterms:modified xsi:type="dcterms:W3CDTF">2026-06-28T19:23:56Z</dcterms:modified>
  <cp:category/>
  <cp:contentStatus/>
</cp:coreProperties>
</file>